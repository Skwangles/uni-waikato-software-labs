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https://d.docs.live.net/2d24e7dc82d12947/Documents/ENGEN370/"/>
    </mc:Choice>
  </mc:AlternateContent>
  <xr:revisionPtr revIDLastSave="4" documentId="8_{AB085FF5-7970-468E-AA0E-DE8D913B316D}" xr6:coauthVersionLast="36" xr6:coauthVersionMax="47" xr10:uidLastSave="{3FD89397-83B0-4C1C-96A8-059994220103}"/>
  <bookViews>
    <workbookView xWindow="-120" yWindow="-120" windowWidth="29040" windowHeight="15840" activeTab="4" xr2:uid="{00000000-000D-0000-FFFF-FFFF00000000}"/>
  </bookViews>
  <sheets>
    <sheet name="Base case" sheetId="2" r:id="rId1"/>
    <sheet name="Natural gas" sheetId="3" r:id="rId2"/>
    <sheet name="Efficient kiln" sheetId="4" r:id="rId3"/>
    <sheet name="Sensitivity set up" sheetId="6" r:id="rId4"/>
    <sheet name="Sensitivity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6" i="6" l="1"/>
  <c r="E111" i="6"/>
  <c r="F107" i="6"/>
  <c r="F106" i="6"/>
  <c r="E90" i="6"/>
  <c r="I89" i="6"/>
  <c r="E89" i="6"/>
  <c r="I88" i="6"/>
  <c r="E88" i="6"/>
  <c r="T85" i="6"/>
  <c r="P85" i="6"/>
  <c r="F85" i="6"/>
  <c r="F84" i="6"/>
  <c r="E84" i="6"/>
  <c r="F80" i="6"/>
  <c r="F79" i="6"/>
  <c r="F75" i="6"/>
  <c r="F71" i="6"/>
  <c r="F70" i="6"/>
  <c r="F69" i="6"/>
  <c r="F68" i="6"/>
  <c r="F67" i="6"/>
  <c r="O60" i="6"/>
  <c r="S60" i="6" s="1"/>
  <c r="G60" i="6"/>
  <c r="S59" i="6"/>
  <c r="O59" i="6"/>
  <c r="G59" i="6"/>
  <c r="O58" i="6"/>
  <c r="S58" i="6" s="1"/>
  <c r="G58" i="6"/>
  <c r="S57" i="6"/>
  <c r="O57" i="6"/>
  <c r="J57" i="6"/>
  <c r="G57" i="6"/>
  <c r="K57" i="6" s="1"/>
  <c r="O56" i="6"/>
  <c r="S56" i="6" s="1"/>
  <c r="G56" i="6"/>
  <c r="S55" i="6"/>
  <c r="O55" i="6"/>
  <c r="G55" i="6"/>
  <c r="S54" i="6"/>
  <c r="O54" i="6"/>
  <c r="G54" i="6"/>
  <c r="E48" i="6"/>
  <c r="J54" i="6" s="1"/>
  <c r="K54" i="6" s="1"/>
  <c r="E47" i="6"/>
  <c r="E46" i="6"/>
  <c r="J56" i="6" s="1"/>
  <c r="K56" i="6" s="1"/>
  <c r="E41" i="6"/>
  <c r="E85" i="6" s="1"/>
  <c r="E34" i="6"/>
  <c r="E33" i="6"/>
  <c r="E28" i="6"/>
  <c r="E27" i="6"/>
  <c r="G26" i="6"/>
  <c r="P20" i="6"/>
  <c r="T19" i="6"/>
  <c r="Q19" i="6"/>
  <c r="E19" i="6" s="1"/>
  <c r="Q18" i="6"/>
  <c r="E18" i="6" s="1"/>
  <c r="Q17" i="6"/>
  <c r="E17" i="6"/>
  <c r="P12" i="6"/>
  <c r="Q7" i="6" s="1"/>
  <c r="E7" i="6" s="1"/>
  <c r="F7" i="6" s="1"/>
  <c r="Q10" i="6"/>
  <c r="E10" i="6" s="1"/>
  <c r="F10" i="6" s="1"/>
  <c r="S60" i="5"/>
  <c r="S59" i="5"/>
  <c r="S58" i="5"/>
  <c r="S57" i="5"/>
  <c r="S56" i="5"/>
  <c r="S55" i="5"/>
  <c r="S54" i="5"/>
  <c r="Z99" i="5"/>
  <c r="Y99" i="5"/>
  <c r="Z98" i="5"/>
  <c r="Y98" i="5"/>
  <c r="Z97" i="5"/>
  <c r="Y97" i="5"/>
  <c r="Z96" i="5"/>
  <c r="Y96" i="5"/>
  <c r="Z95" i="5"/>
  <c r="Y95" i="5"/>
  <c r="Z94" i="5"/>
  <c r="Y94" i="5"/>
  <c r="E111" i="5"/>
  <c r="V99" i="5"/>
  <c r="U99" i="5"/>
  <c r="V98" i="5"/>
  <c r="U98" i="5"/>
  <c r="V97" i="5"/>
  <c r="U97" i="5"/>
  <c r="V96" i="5"/>
  <c r="U96" i="5"/>
  <c r="V95" i="5"/>
  <c r="U95" i="5"/>
  <c r="V94" i="5"/>
  <c r="U94" i="5"/>
  <c r="I89" i="5"/>
  <c r="F107" i="5" s="1"/>
  <c r="I88" i="5"/>
  <c r="F106" i="5" s="1"/>
  <c r="E90" i="5"/>
  <c r="E89" i="5"/>
  <c r="E88" i="5"/>
  <c r="Z90" i="5"/>
  <c r="Y90" i="5"/>
  <c r="F85" i="5"/>
  <c r="F84" i="5"/>
  <c r="V90" i="5"/>
  <c r="U90" i="5"/>
  <c r="Z89" i="5"/>
  <c r="Y89" i="5"/>
  <c r="V89" i="5"/>
  <c r="U89" i="5"/>
  <c r="Z84" i="5"/>
  <c r="Y84" i="5"/>
  <c r="E84" i="5"/>
  <c r="V84" i="5"/>
  <c r="U84" i="5"/>
  <c r="Z85" i="5"/>
  <c r="Y85" i="5"/>
  <c r="X85" i="5"/>
  <c r="W85" i="5"/>
  <c r="V85" i="5"/>
  <c r="U85" i="5"/>
  <c r="T85" i="5"/>
  <c r="P85" i="5"/>
  <c r="F80" i="5"/>
  <c r="F79" i="5"/>
  <c r="Z79" i="5"/>
  <c r="Y79" i="5"/>
  <c r="V79" i="5"/>
  <c r="U79" i="5"/>
  <c r="Z80" i="5"/>
  <c r="Y80" i="5"/>
  <c r="V80" i="5"/>
  <c r="U80" i="5"/>
  <c r="Z75" i="5"/>
  <c r="Y75" i="5"/>
  <c r="F75" i="5"/>
  <c r="U75" i="5"/>
  <c r="V75" i="5"/>
  <c r="Z71" i="5"/>
  <c r="Y71" i="5"/>
  <c r="Z70" i="5"/>
  <c r="Y70" i="5"/>
  <c r="Z69" i="5"/>
  <c r="Y69" i="5"/>
  <c r="Z68" i="5"/>
  <c r="Y68" i="5"/>
  <c r="Z67" i="5"/>
  <c r="Y67" i="5"/>
  <c r="F71" i="5"/>
  <c r="F70" i="5"/>
  <c r="F69" i="5"/>
  <c r="F68" i="5"/>
  <c r="F67" i="5"/>
  <c r="V71" i="5"/>
  <c r="U71" i="5"/>
  <c r="V70" i="5"/>
  <c r="U70" i="5"/>
  <c r="V69" i="5"/>
  <c r="U69" i="5"/>
  <c r="V68" i="5"/>
  <c r="U68" i="5"/>
  <c r="V67" i="5"/>
  <c r="U67" i="5"/>
  <c r="Z60" i="5"/>
  <c r="Y60" i="5"/>
  <c r="Z59" i="5"/>
  <c r="Y59" i="5"/>
  <c r="Z58" i="5"/>
  <c r="Y58" i="5"/>
  <c r="Z57" i="5"/>
  <c r="Y57" i="5"/>
  <c r="Z56" i="5"/>
  <c r="Y56" i="5"/>
  <c r="Z55" i="5"/>
  <c r="Y55" i="5"/>
  <c r="Z54" i="5"/>
  <c r="Y54" i="5"/>
  <c r="G60" i="5"/>
  <c r="G59" i="5"/>
  <c r="G58" i="5"/>
  <c r="G57" i="5"/>
  <c r="G56" i="5"/>
  <c r="G55" i="5"/>
  <c r="G54" i="5"/>
  <c r="V60" i="5"/>
  <c r="U60" i="5"/>
  <c r="V59" i="5"/>
  <c r="U59" i="5"/>
  <c r="V58" i="5"/>
  <c r="U58" i="5"/>
  <c r="V57" i="5"/>
  <c r="U57" i="5"/>
  <c r="V56" i="5"/>
  <c r="U56" i="5"/>
  <c r="V55" i="5"/>
  <c r="U55" i="5"/>
  <c r="V54" i="5"/>
  <c r="U54" i="5"/>
  <c r="O60" i="5"/>
  <c r="O59" i="5"/>
  <c r="O58" i="5"/>
  <c r="O57" i="5"/>
  <c r="O56" i="5"/>
  <c r="O55" i="5"/>
  <c r="O54" i="5"/>
  <c r="Z48" i="5"/>
  <c r="Y48" i="5"/>
  <c r="Z47" i="5"/>
  <c r="Y47" i="5"/>
  <c r="Z46" i="5"/>
  <c r="Y46" i="5"/>
  <c r="E48" i="5"/>
  <c r="J59" i="5" s="1"/>
  <c r="E47" i="5"/>
  <c r="J57" i="5" s="1"/>
  <c r="E46" i="5"/>
  <c r="J56" i="5" s="1"/>
  <c r="V48" i="5"/>
  <c r="U48" i="5"/>
  <c r="V47" i="5"/>
  <c r="U47" i="5"/>
  <c r="V46" i="5"/>
  <c r="U46" i="5"/>
  <c r="Z41" i="5"/>
  <c r="Y41" i="5"/>
  <c r="E41" i="5"/>
  <c r="V41" i="5"/>
  <c r="U41" i="5"/>
  <c r="Z34" i="5"/>
  <c r="Y34" i="5"/>
  <c r="Z33" i="5"/>
  <c r="Y33" i="5"/>
  <c r="V34" i="5"/>
  <c r="V33" i="5"/>
  <c r="U34" i="5"/>
  <c r="U33" i="5"/>
  <c r="E34" i="5"/>
  <c r="E33" i="5"/>
  <c r="E14" i="6" l="1"/>
  <c r="I59" i="6"/>
  <c r="F17" i="6"/>
  <c r="K58" i="6"/>
  <c r="K59" i="6"/>
  <c r="F18" i="6"/>
  <c r="E40" i="6" s="1"/>
  <c r="E42" i="6" s="1"/>
  <c r="F19" i="6"/>
  <c r="J60" i="6"/>
  <c r="K60" i="6" s="1"/>
  <c r="J59" i="6"/>
  <c r="Q8" i="6"/>
  <c r="E8" i="6" s="1"/>
  <c r="F8" i="6" s="1"/>
  <c r="Q11" i="6"/>
  <c r="E11" i="6" s="1"/>
  <c r="F11" i="6" s="1"/>
  <c r="E71" i="6" s="1"/>
  <c r="G71" i="6" s="1"/>
  <c r="J55" i="6"/>
  <c r="K55" i="6" s="1"/>
  <c r="J58" i="6"/>
  <c r="Q9" i="6"/>
  <c r="E9" i="6" s="1"/>
  <c r="F9" i="6" s="1"/>
  <c r="I60" i="6" s="1"/>
  <c r="J54" i="5"/>
  <c r="K54" i="5" s="1"/>
  <c r="J58" i="5"/>
  <c r="K58" i="5" s="1"/>
  <c r="J55" i="5"/>
  <c r="K55" i="5" s="1"/>
  <c r="J60" i="5"/>
  <c r="K60" i="5" s="1"/>
  <c r="E85" i="5"/>
  <c r="U17" i="5"/>
  <c r="T19" i="5"/>
  <c r="V19" i="5" s="1"/>
  <c r="Z19" i="5"/>
  <c r="Y19" i="5"/>
  <c r="U19" i="5"/>
  <c r="Z18" i="5"/>
  <c r="Y18" i="5"/>
  <c r="V18" i="5"/>
  <c r="U18" i="5"/>
  <c r="Z17" i="5"/>
  <c r="Y17" i="5"/>
  <c r="V17" i="5"/>
  <c r="P20" i="5"/>
  <c r="Q17" i="5" s="1"/>
  <c r="Z11" i="5"/>
  <c r="Y11" i="5"/>
  <c r="Z9" i="5"/>
  <c r="Y9" i="5"/>
  <c r="Z8" i="5"/>
  <c r="Y8" i="5"/>
  <c r="Z7" i="5"/>
  <c r="Y7" i="5"/>
  <c r="V11" i="5"/>
  <c r="V10" i="5"/>
  <c r="V9" i="5"/>
  <c r="V8" i="5"/>
  <c r="V7" i="5"/>
  <c r="U11" i="5"/>
  <c r="U10" i="5"/>
  <c r="U9" i="5"/>
  <c r="U8" i="5"/>
  <c r="U7" i="5"/>
  <c r="P12" i="5"/>
  <c r="Q7" i="5" s="1"/>
  <c r="E7" i="5" s="1"/>
  <c r="E126" i="5"/>
  <c r="K59" i="5"/>
  <c r="K57" i="5"/>
  <c r="K56" i="5"/>
  <c r="E28" i="5"/>
  <c r="E27" i="5"/>
  <c r="G26" i="5"/>
  <c r="E124" i="4"/>
  <c r="E92" i="4"/>
  <c r="E91" i="4"/>
  <c r="G91" i="4" s="1"/>
  <c r="H91" i="4" s="1"/>
  <c r="E77" i="4"/>
  <c r="G77" i="4" s="1"/>
  <c r="H77" i="4" s="1"/>
  <c r="I77" i="4" s="1"/>
  <c r="G69" i="4"/>
  <c r="G68" i="4"/>
  <c r="G67" i="4"/>
  <c r="G66" i="4"/>
  <c r="K59" i="4"/>
  <c r="K58" i="4"/>
  <c r="I58" i="4"/>
  <c r="L58" i="4" s="1"/>
  <c r="K57" i="4"/>
  <c r="G56" i="4"/>
  <c r="K56" i="4" s="1"/>
  <c r="K55" i="4"/>
  <c r="K54" i="4"/>
  <c r="K53" i="4"/>
  <c r="E40" i="4"/>
  <c r="E83" i="4" s="1"/>
  <c r="G92" i="4" s="1"/>
  <c r="H92" i="4" s="1"/>
  <c r="E27" i="4"/>
  <c r="E26" i="4"/>
  <c r="G25" i="4"/>
  <c r="E18" i="4"/>
  <c r="F18" i="4" s="1"/>
  <c r="F17" i="4"/>
  <c r="E39" i="4" s="1"/>
  <c r="E41" i="4" s="1"/>
  <c r="I54" i="4" s="1"/>
  <c r="L54" i="4" s="1"/>
  <c r="F11" i="4"/>
  <c r="E70" i="4" s="1"/>
  <c r="G70" i="4" s="1"/>
  <c r="F10" i="4"/>
  <c r="F9" i="4"/>
  <c r="I59" i="4" s="1"/>
  <c r="F8" i="4"/>
  <c r="F7" i="4"/>
  <c r="E13" i="4" s="1"/>
  <c r="E124" i="2"/>
  <c r="E92" i="3"/>
  <c r="E91" i="3"/>
  <c r="G91" i="3" s="1"/>
  <c r="H91" i="3" s="1"/>
  <c r="E77" i="3"/>
  <c r="G77" i="3" s="1"/>
  <c r="H77" i="3" s="1"/>
  <c r="I77" i="3" s="1"/>
  <c r="G69" i="3"/>
  <c r="G68" i="3"/>
  <c r="G67" i="3"/>
  <c r="G66" i="3"/>
  <c r="K59" i="3"/>
  <c r="K58" i="3"/>
  <c r="K57" i="3"/>
  <c r="G56" i="3"/>
  <c r="K56" i="3" s="1"/>
  <c r="K55" i="3"/>
  <c r="K54" i="3"/>
  <c r="K53" i="3"/>
  <c r="E40" i="3"/>
  <c r="E83" i="3" s="1"/>
  <c r="E27" i="3"/>
  <c r="E26" i="3"/>
  <c r="G25" i="3"/>
  <c r="E18" i="3"/>
  <c r="F11" i="3"/>
  <c r="E70" i="3" s="1"/>
  <c r="G70" i="3" s="1"/>
  <c r="F10" i="3"/>
  <c r="F9" i="3"/>
  <c r="F8" i="3"/>
  <c r="F7" i="3"/>
  <c r="I58" i="3" s="1"/>
  <c r="E70" i="6" l="1"/>
  <c r="G70" i="6" s="1"/>
  <c r="I57" i="6"/>
  <c r="L57" i="6" s="1"/>
  <c r="I58" i="6"/>
  <c r="L58" i="6" s="1"/>
  <c r="E69" i="6"/>
  <c r="G69" i="6" s="1"/>
  <c r="I56" i="6"/>
  <c r="L56" i="6" s="1"/>
  <c r="E32" i="6"/>
  <c r="E35" i="6" s="1"/>
  <c r="F20" i="6"/>
  <c r="E80" i="6" s="1"/>
  <c r="G80" i="6" s="1"/>
  <c r="H80" i="6" s="1"/>
  <c r="I80" i="6" s="1"/>
  <c r="E121" i="6" s="1"/>
  <c r="F121" i="6" s="1"/>
  <c r="I55" i="6"/>
  <c r="L55" i="6" s="1"/>
  <c r="E68" i="6"/>
  <c r="L60" i="6"/>
  <c r="L59" i="6"/>
  <c r="Q18" i="5"/>
  <c r="E18" i="5" s="1"/>
  <c r="Q19" i="5"/>
  <c r="E19" i="5" s="1"/>
  <c r="F7" i="5"/>
  <c r="E14" i="5" s="1"/>
  <c r="Q11" i="5"/>
  <c r="E11" i="5" s="1"/>
  <c r="Q10" i="5"/>
  <c r="E10" i="5" s="1"/>
  <c r="F10" i="5" s="1"/>
  <c r="Q9" i="5"/>
  <c r="E9" i="5" s="1"/>
  <c r="F9" i="5" s="1"/>
  <c r="Q8" i="5"/>
  <c r="E8" i="5" s="1"/>
  <c r="F8" i="5" s="1"/>
  <c r="L59" i="4"/>
  <c r="F92" i="4"/>
  <c r="I92" i="4" s="1"/>
  <c r="I59" i="3"/>
  <c r="L59" i="3" s="1"/>
  <c r="F16" i="4"/>
  <c r="E31" i="4" s="1"/>
  <c r="E34" i="4" s="1"/>
  <c r="I53" i="4" s="1"/>
  <c r="L53" i="4" s="1"/>
  <c r="G71" i="4"/>
  <c r="E114" i="4" s="1"/>
  <c r="I57" i="4"/>
  <c r="L57" i="4" s="1"/>
  <c r="I56" i="4"/>
  <c r="L56" i="4" s="1"/>
  <c r="I55" i="4"/>
  <c r="L55" i="4" s="1"/>
  <c r="E116" i="4"/>
  <c r="F116" i="4" s="1"/>
  <c r="J92" i="4"/>
  <c r="F19" i="4"/>
  <c r="E78" i="4" s="1"/>
  <c r="G78" i="4" s="1"/>
  <c r="H78" i="4" s="1"/>
  <c r="I78" i="4" s="1"/>
  <c r="E119" i="4" s="1"/>
  <c r="F119" i="4" s="1"/>
  <c r="F91" i="4"/>
  <c r="E13" i="3"/>
  <c r="F16" i="3"/>
  <c r="E31" i="3" s="1"/>
  <c r="E34" i="3" s="1"/>
  <c r="I53" i="3" s="1"/>
  <c r="L53" i="3" s="1"/>
  <c r="F17" i="3"/>
  <c r="E39" i="3" s="1"/>
  <c r="E41" i="3" s="1"/>
  <c r="I54" i="3" s="1"/>
  <c r="F18" i="3"/>
  <c r="I57" i="3" s="1"/>
  <c r="L57" i="3" s="1"/>
  <c r="F91" i="3"/>
  <c r="I91" i="3" s="1"/>
  <c r="J91" i="3" s="1"/>
  <c r="L54" i="3"/>
  <c r="L58" i="3"/>
  <c r="G92" i="3"/>
  <c r="F92" i="3" s="1"/>
  <c r="G71" i="3"/>
  <c r="E114" i="3" s="1"/>
  <c r="E116" i="3"/>
  <c r="F116" i="3" s="1"/>
  <c r="E91" i="2"/>
  <c r="G91" i="2" s="1"/>
  <c r="H91" i="2" s="1"/>
  <c r="E92" i="2"/>
  <c r="G92" i="2" s="1"/>
  <c r="E77" i="2"/>
  <c r="G77" i="2" s="1"/>
  <c r="H77" i="2" s="1"/>
  <c r="I77" i="2" s="1"/>
  <c r="E116" i="2" s="1"/>
  <c r="F116" i="2" s="1"/>
  <c r="G69" i="2"/>
  <c r="G68" i="2"/>
  <c r="G67" i="2"/>
  <c r="G66" i="2"/>
  <c r="E40" i="2"/>
  <c r="E83" i="2" s="1"/>
  <c r="E27" i="2"/>
  <c r="E26" i="2"/>
  <c r="G25" i="2"/>
  <c r="E18" i="2"/>
  <c r="E94" i="6" l="1"/>
  <c r="G68" i="6"/>
  <c r="I54" i="6"/>
  <c r="L54" i="6" s="1"/>
  <c r="L61" i="6" s="1"/>
  <c r="E117" i="6" s="1"/>
  <c r="F117" i="6" s="1"/>
  <c r="E67" i="6"/>
  <c r="F19" i="5"/>
  <c r="I57" i="5" s="1"/>
  <c r="L57" i="5" s="1"/>
  <c r="I60" i="5"/>
  <c r="L60" i="5" s="1"/>
  <c r="E70" i="5"/>
  <c r="G70" i="5" s="1"/>
  <c r="I59" i="5"/>
  <c r="L59" i="5" s="1"/>
  <c r="F18" i="5"/>
  <c r="E40" i="5" s="1"/>
  <c r="F11" i="5"/>
  <c r="E71" i="5" s="1"/>
  <c r="G71" i="5" s="1"/>
  <c r="I92" i="3"/>
  <c r="D109" i="3"/>
  <c r="F109" i="3" s="1"/>
  <c r="G109" i="3" s="1"/>
  <c r="H109" i="3" s="1"/>
  <c r="L60" i="4"/>
  <c r="E115" i="4" s="1"/>
  <c r="F115" i="4" s="1"/>
  <c r="F91" i="2"/>
  <c r="F19" i="3"/>
  <c r="E78" i="3" s="1"/>
  <c r="G78" i="3" s="1"/>
  <c r="H78" i="3" s="1"/>
  <c r="I78" i="3" s="1"/>
  <c r="E119" i="3" s="1"/>
  <c r="F119" i="3" s="1"/>
  <c r="H92" i="3"/>
  <c r="J92" i="3" s="1"/>
  <c r="J93" i="3" s="1"/>
  <c r="J94" i="3" s="1"/>
  <c r="I79" i="4"/>
  <c r="I91" i="4"/>
  <c r="J91" i="4" s="1"/>
  <c r="J93" i="4" s="1"/>
  <c r="J94" i="4" s="1"/>
  <c r="J95" i="4" s="1"/>
  <c r="J96" i="4" s="1"/>
  <c r="E117" i="4" s="1"/>
  <c r="F117" i="4" s="1"/>
  <c r="D109" i="4"/>
  <c r="F109" i="4" s="1"/>
  <c r="G109" i="4" s="1"/>
  <c r="E100" i="4"/>
  <c r="F114" i="4"/>
  <c r="E100" i="3"/>
  <c r="I55" i="3"/>
  <c r="L55" i="3" s="1"/>
  <c r="I56" i="3"/>
  <c r="L56" i="3" s="1"/>
  <c r="H92" i="2"/>
  <c r="F92" i="2"/>
  <c r="I92" i="2" s="1"/>
  <c r="E100" i="2"/>
  <c r="I91" i="2"/>
  <c r="J91" i="2" s="1"/>
  <c r="G100" i="3"/>
  <c r="F100" i="3"/>
  <c r="I79" i="3"/>
  <c r="F114" i="3"/>
  <c r="F11" i="2"/>
  <c r="E70" i="2" s="1"/>
  <c r="G70" i="2" s="1"/>
  <c r="G71" i="2" s="1"/>
  <c r="E114" i="2" s="1"/>
  <c r="F10" i="2"/>
  <c r="F9" i="2"/>
  <c r="F8" i="2"/>
  <c r="F7" i="2"/>
  <c r="K53" i="2"/>
  <c r="K54" i="2"/>
  <c r="K55" i="2"/>
  <c r="K57" i="2"/>
  <c r="K58" i="2"/>
  <c r="K59" i="2"/>
  <c r="G56" i="2"/>
  <c r="K56" i="2" s="1"/>
  <c r="G67" i="6" l="1"/>
  <c r="G72" i="6" s="1"/>
  <c r="E116" i="6" s="1"/>
  <c r="E93" i="6"/>
  <c r="E79" i="6"/>
  <c r="G79" i="6" s="1"/>
  <c r="H79" i="6" s="1"/>
  <c r="I79" i="6" s="1"/>
  <c r="G94" i="6"/>
  <c r="H94" i="6" s="1"/>
  <c r="F94" i="6"/>
  <c r="I94" i="6" s="1"/>
  <c r="E69" i="5"/>
  <c r="G69" i="5" s="1"/>
  <c r="I56" i="5"/>
  <c r="L56" i="5" s="1"/>
  <c r="I58" i="5"/>
  <c r="L58" i="5" s="1"/>
  <c r="E42" i="5"/>
  <c r="J95" i="3"/>
  <c r="J96" i="3" s="1"/>
  <c r="E117" i="3" s="1"/>
  <c r="F117" i="3" s="1"/>
  <c r="E123" i="3"/>
  <c r="L60" i="3"/>
  <c r="E115" i="3" s="1"/>
  <c r="F115" i="3" s="1"/>
  <c r="E118" i="3"/>
  <c r="F118" i="3" s="1"/>
  <c r="D109" i="2"/>
  <c r="F109" i="2" s="1"/>
  <c r="G109" i="2" s="1"/>
  <c r="G100" i="4"/>
  <c r="E118" i="4" s="1"/>
  <c r="F118" i="4" s="1"/>
  <c r="F100" i="4"/>
  <c r="E123" i="4"/>
  <c r="E125" i="4" s="1"/>
  <c r="H109" i="4"/>
  <c r="I59" i="2"/>
  <c r="F114" i="2"/>
  <c r="L59" i="2"/>
  <c r="G100" i="2"/>
  <c r="F100" i="2"/>
  <c r="J92" i="2"/>
  <c r="J93" i="2" s="1"/>
  <c r="J94" i="2" s="1"/>
  <c r="J95" i="2" s="1"/>
  <c r="J96" i="2" s="1"/>
  <c r="E117" i="2" s="1"/>
  <c r="F117" i="2" s="1"/>
  <c r="E120" i="3"/>
  <c r="E13" i="2"/>
  <c r="I58" i="2"/>
  <c r="F17" i="2"/>
  <c r="E39" i="2" s="1"/>
  <c r="E41" i="2" s="1"/>
  <c r="I54" i="2" s="1"/>
  <c r="L54" i="2" s="1"/>
  <c r="F16" i="2"/>
  <c r="L58" i="2"/>
  <c r="F18" i="2"/>
  <c r="F116" i="6" l="1"/>
  <c r="J94" i="6"/>
  <c r="E118" i="6"/>
  <c r="F118" i="6" s="1"/>
  <c r="I81" i="6"/>
  <c r="G93" i="6"/>
  <c r="H93" i="6" s="1"/>
  <c r="F93" i="6"/>
  <c r="E68" i="5"/>
  <c r="I55" i="5"/>
  <c r="L55" i="5" s="1"/>
  <c r="H109" i="2"/>
  <c r="E123" i="2"/>
  <c r="E125" i="2" s="1"/>
  <c r="E118" i="2"/>
  <c r="F118" i="2" s="1"/>
  <c r="E124" i="3"/>
  <c r="E126" i="3"/>
  <c r="F120" i="3"/>
  <c r="G115" i="3" s="1"/>
  <c r="E129" i="3"/>
  <c r="E130" i="3" s="1"/>
  <c r="E120" i="4"/>
  <c r="E31" i="2"/>
  <c r="E34" i="2" s="1"/>
  <c r="I53" i="2" s="1"/>
  <c r="L53" i="2" s="1"/>
  <c r="F19" i="2"/>
  <c r="E78" i="2" s="1"/>
  <c r="G78" i="2" s="1"/>
  <c r="H78" i="2" s="1"/>
  <c r="I78" i="2" s="1"/>
  <c r="I55" i="2"/>
  <c r="L55" i="2" s="1"/>
  <c r="I57" i="2"/>
  <c r="L57" i="2" s="1"/>
  <c r="I56" i="2"/>
  <c r="L56" i="2" s="1"/>
  <c r="E102" i="6" l="1"/>
  <c r="D111" i="6"/>
  <c r="F111" i="6" s="1"/>
  <c r="G111" i="6" s="1"/>
  <c r="I93" i="6"/>
  <c r="J93" i="6"/>
  <c r="J95" i="6" s="1"/>
  <c r="J96" i="6" s="1"/>
  <c r="J97" i="6" s="1"/>
  <c r="J98" i="6" s="1"/>
  <c r="E119" i="6" s="1"/>
  <c r="E94" i="5"/>
  <c r="G94" i="5" s="1"/>
  <c r="G68" i="5"/>
  <c r="E132" i="3"/>
  <c r="E133" i="3" s="1"/>
  <c r="G117" i="3"/>
  <c r="G118" i="3"/>
  <c r="G119" i="3"/>
  <c r="G114" i="3"/>
  <c r="G116" i="3"/>
  <c r="F120" i="4"/>
  <c r="E128" i="4"/>
  <c r="E129" i="4" s="1"/>
  <c r="E131" i="4" s="1"/>
  <c r="E132" i="4" s="1"/>
  <c r="I79" i="2"/>
  <c r="E119" i="2"/>
  <c r="F119" i="2" s="1"/>
  <c r="L60" i="2"/>
  <c r="E115" i="2" s="1"/>
  <c r="G102" i="6" l="1"/>
  <c r="E120" i="6" s="1"/>
  <c r="F120" i="6" s="1"/>
  <c r="F102" i="6"/>
  <c r="F119" i="6"/>
  <c r="E125" i="6"/>
  <c r="E127" i="6" s="1"/>
  <c r="H111" i="6"/>
  <c r="F94" i="5"/>
  <c r="I94" i="5" s="1"/>
  <c r="H94" i="5"/>
  <c r="G119" i="4"/>
  <c r="G116" i="4"/>
  <c r="G115" i="4"/>
  <c r="G114" i="4"/>
  <c r="G117" i="4"/>
  <c r="G118" i="4"/>
  <c r="F115" i="2"/>
  <c r="E120" i="2"/>
  <c r="E122" i="6" l="1"/>
  <c r="J94" i="5"/>
  <c r="F120" i="2"/>
  <c r="E128" i="2"/>
  <c r="E129" i="2" s="1"/>
  <c r="E131" i="2" s="1"/>
  <c r="E132" i="2" s="1"/>
  <c r="G115" i="2"/>
  <c r="G116" i="2"/>
  <c r="G117" i="2"/>
  <c r="G118" i="2"/>
  <c r="G114" i="2"/>
  <c r="G119" i="2"/>
  <c r="E130" i="6" l="1"/>
  <c r="E131" i="6" s="1"/>
  <c r="E133" i="6" s="1"/>
  <c r="E134" i="6" s="1"/>
  <c r="F122" i="6"/>
  <c r="E17" i="5"/>
  <c r="F17" i="5" s="1"/>
  <c r="E32" i="5" s="1"/>
  <c r="E35" i="5" s="1"/>
  <c r="Z2" i="6" l="1"/>
  <c r="G121" i="6"/>
  <c r="G117" i="6"/>
  <c r="G118" i="6"/>
  <c r="G116" i="6"/>
  <c r="G120" i="6"/>
  <c r="G119" i="6"/>
  <c r="I54" i="5"/>
  <c r="L54" i="5" s="1"/>
  <c r="L61" i="5" s="1"/>
  <c r="E117" i="5" s="1"/>
  <c r="E67" i="5"/>
  <c r="F20" i="5"/>
  <c r="E80" i="5" s="1"/>
  <c r="G80" i="5" s="1"/>
  <c r="H80" i="5" s="1"/>
  <c r="I80" i="5" s="1"/>
  <c r="F117" i="5" l="1"/>
  <c r="E93" i="5"/>
  <c r="E79" i="5"/>
  <c r="G79" i="5" s="1"/>
  <c r="H79" i="5" s="1"/>
  <c r="I79" i="5" s="1"/>
  <c r="E118" i="5" s="1"/>
  <c r="F118" i="5" s="1"/>
  <c r="G67" i="5"/>
  <c r="G72" i="5" s="1"/>
  <c r="E116" i="5" s="1"/>
  <c r="F116" i="5" s="1"/>
  <c r="E121" i="5"/>
  <c r="I81" i="5" l="1"/>
  <c r="G93" i="5"/>
  <c r="H93" i="5" s="1"/>
  <c r="F121" i="5"/>
  <c r="F93" i="5" l="1"/>
  <c r="E102" i="5" l="1"/>
  <c r="I93" i="5"/>
  <c r="J93" i="5" s="1"/>
  <c r="J95" i="5" s="1"/>
  <c r="J96" i="5" s="1"/>
  <c r="J97" i="5" s="1"/>
  <c r="J98" i="5" s="1"/>
  <c r="E119" i="5" s="1"/>
  <c r="D111" i="5"/>
  <c r="F111" i="5" s="1"/>
  <c r="G111" i="5" s="1"/>
  <c r="H111" i="5" l="1"/>
  <c r="E125" i="5"/>
  <c r="E127" i="5" s="1"/>
  <c r="F119" i="5"/>
  <c r="G102" i="5"/>
  <c r="F102" i="5"/>
  <c r="E120" i="5" l="1"/>
  <c r="F120" i="5" l="1"/>
  <c r="E122" i="5"/>
  <c r="E130" i="5" l="1"/>
  <c r="E131" i="5" s="1"/>
  <c r="E133" i="5" s="1"/>
  <c r="E134" i="5" s="1"/>
  <c r="F122" i="5"/>
  <c r="G120" i="5" s="1"/>
  <c r="G121" i="5" l="1"/>
  <c r="G117" i="5"/>
  <c r="G116" i="5"/>
  <c r="G118" i="5"/>
  <c r="Z2" i="5"/>
  <c r="G119" i="5"/>
</calcChain>
</file>

<file path=xl/sharedStrings.xml><?xml version="1.0" encoding="utf-8"?>
<sst xmlns="http://schemas.openxmlformats.org/spreadsheetml/2006/main" count="1271" uniqueCount="157">
  <si>
    <t>Limestone</t>
  </si>
  <si>
    <t>Gypsum</t>
  </si>
  <si>
    <t>Plasticiser</t>
  </si>
  <si>
    <t>Gravel</t>
  </si>
  <si>
    <t>Distance (km)</t>
  </si>
  <si>
    <t>Lake McDonnell</t>
  </si>
  <si>
    <t>Oparure Quarry</t>
  </si>
  <si>
    <t>Grinding limestone and clay</t>
  </si>
  <si>
    <t>Rail</t>
  </si>
  <si>
    <t>Small container vessel</t>
  </si>
  <si>
    <t>Road transport</t>
  </si>
  <si>
    <t>Cement</t>
  </si>
  <si>
    <t>Macadam</t>
  </si>
  <si>
    <t>Water</t>
  </si>
  <si>
    <t>Total</t>
  </si>
  <si>
    <t>Calcining reaction</t>
  </si>
  <si>
    <t>Calcium oxide, CaO</t>
  </si>
  <si>
    <t>Aggregate and gravel</t>
  </si>
  <si>
    <t>Origin</t>
  </si>
  <si>
    <t>Destination</t>
  </si>
  <si>
    <t>Process</t>
  </si>
  <si>
    <t>Material</t>
  </si>
  <si>
    <t>Materials</t>
  </si>
  <si>
    <t>Transport</t>
  </si>
  <si>
    <t>Train</t>
  </si>
  <si>
    <t>Graymont, Otorohanga</t>
  </si>
  <si>
    <t>Transport mode</t>
  </si>
  <si>
    <t>Truck</t>
  </si>
  <si>
    <t>Fireclay</t>
  </si>
  <si>
    <t>Huntly Quarry</t>
  </si>
  <si>
    <t>Thevenard</t>
  </si>
  <si>
    <t>Port of Tauranga</t>
  </si>
  <si>
    <t>Ship</t>
  </si>
  <si>
    <t>Allied Concrete</t>
  </si>
  <si>
    <t>Fulton Hogan, Ngaruawhahia</t>
  </si>
  <si>
    <t>CO2 emissions</t>
  </si>
  <si>
    <t>(g CO2/tonne.km)</t>
  </si>
  <si>
    <t>(kg CO2/tonne)</t>
  </si>
  <si>
    <t>kg/tonne concrete</t>
  </si>
  <si>
    <t>Basis (tonnes)</t>
  </si>
  <si>
    <t>Tonnes</t>
  </si>
  <si>
    <t>kg/tonne cement (dry basis)</t>
  </si>
  <si>
    <t>Burning limestone</t>
  </si>
  <si>
    <r>
      <t>CaCO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to CaO + CO</t>
    </r>
    <r>
      <rPr>
        <vertAlign val="subscript"/>
        <sz val="11"/>
        <color theme="1"/>
        <rFont val="Calibri"/>
        <family val="2"/>
        <scheme val="minor"/>
      </rPr>
      <t>2</t>
    </r>
  </si>
  <si>
    <r>
      <t>1 mol CaCO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will produce 1 mol CaO and 1 mol CO</t>
    </r>
    <r>
      <rPr>
        <vertAlign val="subscript"/>
        <sz val="11"/>
        <color theme="1"/>
        <rFont val="Calibri"/>
        <family val="2"/>
        <scheme val="minor"/>
      </rPr>
      <t>2</t>
    </r>
  </si>
  <si>
    <t>CaCO3</t>
  </si>
  <si>
    <t>Mass (tonnes)</t>
  </si>
  <si>
    <t>Mass (kg)</t>
  </si>
  <si>
    <t>MW (g/mol)</t>
  </si>
  <si>
    <t>Mols/kg</t>
  </si>
  <si>
    <t>Reactant</t>
  </si>
  <si>
    <t>Product</t>
  </si>
  <si>
    <t>CaO</t>
  </si>
  <si>
    <t>CO2</t>
  </si>
  <si>
    <t>tonnes needed</t>
  </si>
  <si>
    <t>Raw limestone needed (tonnes) = (Calcium oxide needed (tonnes) / (Calcium oxide produced per tonne limestone))/(Calcium carbonate content of the limestone)</t>
  </si>
  <si>
    <t>Calcium oxide, CaO needed (tonnes)</t>
  </si>
  <si>
    <t>Calcium oxide produced per tonne limestone</t>
  </si>
  <si>
    <t>Calcium carbonate content of limestone</t>
  </si>
  <si>
    <t>Raw limestone needed (tonnes)</t>
  </si>
  <si>
    <t>Tonnes cement needed</t>
  </si>
  <si>
    <t>Raw fireclay needed (tonnes) = Fireclay needed (tonnes)/Fireclay content of the rock</t>
  </si>
  <si>
    <t>Fireclay needed (tonnes)</t>
  </si>
  <si>
    <t>Fireclay content of rock</t>
  </si>
  <si>
    <t>Raw fireclay needed (tonnes)</t>
  </si>
  <si>
    <t>kg CO2</t>
  </si>
  <si>
    <r>
      <t>gCO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/tonne.km</t>
    </r>
  </si>
  <si>
    <r>
      <t>kg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/tonne</t>
    </r>
  </si>
  <si>
    <r>
      <t>kg CO</t>
    </r>
    <r>
      <rPr>
        <b/>
        <vertAlign val="subscript"/>
        <sz val="11"/>
        <color theme="1"/>
        <rFont val="Calibri"/>
        <family val="2"/>
        <scheme val="minor"/>
      </rPr>
      <t>2</t>
    </r>
  </si>
  <si>
    <t>Electricity consumption</t>
  </si>
  <si>
    <t>Power (kWhr/tonne)</t>
  </si>
  <si>
    <t>Power (kWhr)</t>
  </si>
  <si>
    <t>Grinding the clinker and gypsum</t>
  </si>
  <si>
    <t>Power (MJ)</t>
  </si>
  <si>
    <t>CO2 emissions (kg CO2)</t>
  </si>
  <si>
    <t>Emissions from electricity, NZ (kg CO2/MJ)</t>
  </si>
  <si>
    <t>Drying</t>
  </si>
  <si>
    <t>Water content</t>
  </si>
  <si>
    <t>Wet mass (tonnes)</t>
  </si>
  <si>
    <t>Dry mass (tonnes)</t>
  </si>
  <si>
    <t>Water (tonnes)</t>
  </si>
  <si>
    <t>Heat capacity (kJ/kg.K)</t>
  </si>
  <si>
    <t>Heat of evaporation (kJ/kg)</t>
  </si>
  <si>
    <t>Temperature of vaporisation (oC)</t>
  </si>
  <si>
    <t>Starting temperature (oC)</t>
  </si>
  <si>
    <t>Final temperature (oC)</t>
  </si>
  <si>
    <t>Efficiency of drier</t>
  </si>
  <si>
    <t>Heat to vaporise water (MJ)</t>
  </si>
  <si>
    <t>Heat to heat up the material (MJ)</t>
  </si>
  <si>
    <t>Total (MJ)</t>
  </si>
  <si>
    <t>Total heat required (accounting for efficiency) (MJ)</t>
  </si>
  <si>
    <t>Coal CV (MJ/kg)</t>
  </si>
  <si>
    <t>Coal required (kg)</t>
  </si>
  <si>
    <t>Coal required (tonnes)</t>
  </si>
  <si>
    <r>
      <t>CO2 emissions burning coal (kg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/kg coal)</t>
    </r>
  </si>
  <si>
    <r>
      <t>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emissions (kg)</t>
    </r>
  </si>
  <si>
    <t>Calcining</t>
  </si>
  <si>
    <t>CaO (tonnes)</t>
  </si>
  <si>
    <t>CO2 (tonnes)</t>
  </si>
  <si>
    <t>Heat required</t>
  </si>
  <si>
    <t>Mass flow (tonnes)</t>
  </si>
  <si>
    <t>MJ heat/kg feed</t>
  </si>
  <si>
    <t>Total heat needed (MJ)</t>
  </si>
  <si>
    <t>CO2 emissions (tonnes CO2)</t>
  </si>
  <si>
    <t>Limestone (tonnes)</t>
  </si>
  <si>
    <t>Raw material production</t>
  </si>
  <si>
    <t>Transportation</t>
  </si>
  <si>
    <t>Grinding raw materials</t>
  </si>
  <si>
    <t>Grinding clinker</t>
  </si>
  <si>
    <r>
      <t>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emissions (kg/tonne concrete)</t>
    </r>
  </si>
  <si>
    <t>% of total</t>
  </si>
  <si>
    <t>Concrete manufacture - base case</t>
  </si>
  <si>
    <t>Concrete manufacture - using natural gas</t>
  </si>
  <si>
    <t>Natural gas CV (MJ/kg)</t>
  </si>
  <si>
    <r>
      <t>CO2 emissions burning NG (kg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/kg NG)</t>
    </r>
  </si>
  <si>
    <t>NG required (kg)</t>
  </si>
  <si>
    <t>NG required (tonnes)</t>
  </si>
  <si>
    <t>Cost of fuel ($/tonne)</t>
  </si>
  <si>
    <t>Total fuel required (tonnes)</t>
  </si>
  <si>
    <t>Cost of fuel ($)</t>
  </si>
  <si>
    <t>Current price of coal is US$292/tonne</t>
  </si>
  <si>
    <t>Emissions trading scheme ($/unit)</t>
  </si>
  <si>
    <t>Tonnes CO2/unit</t>
  </si>
  <si>
    <t>Units produced</t>
  </si>
  <si>
    <t>ETS cost ($)</t>
  </si>
  <si>
    <t>Total cost ($)</t>
  </si>
  <si>
    <t>Cost ($/tonne concrete)</t>
  </si>
  <si>
    <t>Fuel required (MJ)</t>
  </si>
  <si>
    <t>Fuel required (kWhr)</t>
  </si>
  <si>
    <t>Cost of fuel ($/kWhr)</t>
  </si>
  <si>
    <t>Concrete composition</t>
  </si>
  <si>
    <t>Total (kg)</t>
  </si>
  <si>
    <t>mass fraction</t>
  </si>
  <si>
    <t>Total (fixed)</t>
  </si>
  <si>
    <t>kg in mixture</t>
  </si>
  <si>
    <t>Base case</t>
  </si>
  <si>
    <t>Low</t>
  </si>
  <si>
    <t>High</t>
  </si>
  <si>
    <t>Variation (%)</t>
  </si>
  <si>
    <t>Concrete composition (kg in mixture)</t>
  </si>
  <si>
    <t>Base case (kg CO2 emissions/tonne concrete)</t>
  </si>
  <si>
    <t>Result of variation (kg CO2 emissions/tonne concrete)</t>
  </si>
  <si>
    <t>kg CO2 emissions/tonne concrete)</t>
  </si>
  <si>
    <t>% difference from base case</t>
  </si>
  <si>
    <t>Cement composition (kg in mixture)</t>
  </si>
  <si>
    <t>Cement composition</t>
  </si>
  <si>
    <t>Limestone reaction and properties</t>
  </si>
  <si>
    <t>Fireclay properties</t>
  </si>
  <si>
    <r>
      <t>Transport gCO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/tonne.km</t>
    </r>
  </si>
  <si>
    <t>Transport distances</t>
  </si>
  <si>
    <t>Transport distance (km)</t>
  </si>
  <si>
    <t>Material impact (kg CO2/tonne)</t>
  </si>
  <si>
    <t>Calciner heat required (MJ heat/kg feed)</t>
  </si>
  <si>
    <t>Value</t>
  </si>
  <si>
    <t>Starting dryer temperature (oC)</t>
  </si>
  <si>
    <t>Final drying temperature (oC)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</si>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</sst>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left"/>
    </xf>
    <xf numFmtId="165" fontId="0" fillId="0" borderId="0" xfId="0" applyNumberFormat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1" fontId="0" fillId="0" borderId="1" xfId="0" applyNumberFormat="1" applyBorder="1" applyAlignment="1">
      <alignment horizontal="center"/>
    </xf>
    <xf numFmtId="0" fontId="0" fillId="0" borderId="0" xfId="0" applyBorder="1"/>
    <xf numFmtId="0" fontId="0" fillId="0" borderId="1" xfId="0" applyFill="1" applyBorder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0" fillId="2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0" fillId="5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0" fillId="8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2" fontId="0" fillId="6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7" borderId="2" xfId="0" applyFill="1" applyBorder="1" applyAlignment="1">
      <alignment horizontal="center"/>
    </xf>
    <xf numFmtId="2" fontId="0" fillId="6" borderId="2" xfId="0" applyNumberFormat="1" applyFill="1" applyBorder="1" applyAlignment="1">
      <alignment horizontal="center"/>
    </xf>
    <xf numFmtId="0" fontId="0" fillId="0" borderId="2" xfId="0" applyBorder="1"/>
    <xf numFmtId="2" fontId="0" fillId="0" borderId="2" xfId="0" applyNumberFormat="1" applyBorder="1" applyAlignment="1">
      <alignment horizontal="center"/>
    </xf>
    <xf numFmtId="165" fontId="0" fillId="8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4" borderId="1" xfId="0" applyNumberFormat="1" applyFill="1" applyBorder="1" applyAlignment="1">
      <alignment horizontal="center"/>
    </xf>
    <xf numFmtId="165" fontId="0" fillId="8" borderId="2" xfId="0" applyNumberFormat="1" applyFill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2" fontId="0" fillId="6" borderId="0" xfId="0" applyNumberFormat="1" applyFill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1" fontId="0" fillId="6" borderId="0" xfId="0" applyNumberForma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2" fontId="0" fillId="5" borderId="1" xfId="0" applyNumberFormat="1" applyFill="1" applyBorder="1" applyAlignment="1">
      <alignment horizontal="center"/>
    </xf>
    <xf numFmtId="2" fontId="0" fillId="9" borderId="0" xfId="0" applyNumberFormat="1" applyFill="1" applyAlignment="1">
      <alignment horizontal="center"/>
    </xf>
    <xf numFmtId="2" fontId="0" fillId="9" borderId="1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0" fillId="0" borderId="0" xfId="0" applyBorder="1" applyAlignment="1">
      <alignment horizontal="right"/>
    </xf>
    <xf numFmtId="0" fontId="0" fillId="0" borderId="1" xfId="0" applyFill="1" applyBorder="1" applyAlignment="1">
      <alignment horizontal="right"/>
    </xf>
    <xf numFmtId="164" fontId="0" fillId="6" borderId="0" xfId="0" applyNumberForma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165" fontId="0" fillId="0" borderId="0" xfId="0" applyNumberFormat="1" applyFill="1" applyAlignment="1">
      <alignment horizontal="center"/>
    </xf>
    <xf numFmtId="2" fontId="0" fillId="0" borderId="0" xfId="0" applyNumberForma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164" fontId="0" fillId="6" borderId="2" xfId="0" applyNumberFormat="1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5" fontId="0" fillId="6" borderId="0" xfId="0" applyNumberFormat="1" applyFill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165" fontId="0" fillId="8" borderId="0" xfId="0" applyNumberFormat="1" applyFill="1" applyBorder="1" applyAlignment="1">
      <alignment horizontal="center"/>
    </xf>
    <xf numFmtId="164" fontId="0" fillId="5" borderId="0" xfId="0" applyNumberFormat="1" applyFill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0" fontId="0" fillId="0" borderId="2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L134"/>
  <sheetViews>
    <sheetView workbookViewId="0">
      <selection activeCell="F130" sqref="F130"/>
    </sheetView>
  </sheetViews>
  <sheetFormatPr defaultRowHeight="15" x14ac:dyDescent="0.25"/>
  <cols>
    <col min="4" max="4" width="23.28515625" customWidth="1"/>
    <col min="5" max="5" width="27.28515625" customWidth="1"/>
    <col min="6" max="6" width="22.140625" customWidth="1"/>
    <col min="7" max="7" width="13.85546875" customWidth="1"/>
    <col min="8" max="9" width="17.42578125" customWidth="1"/>
    <col min="10" max="10" width="18.42578125" customWidth="1"/>
    <col min="11" max="11" width="14.7109375" customWidth="1"/>
  </cols>
  <sheetData>
    <row r="2" spans="4:6" x14ac:dyDescent="0.25">
      <c r="D2" s="2" t="s">
        <v>111</v>
      </c>
    </row>
    <row r="4" spans="4:6" x14ac:dyDescent="0.25">
      <c r="D4" s="5" t="s">
        <v>39</v>
      </c>
      <c r="E4" s="5">
        <v>1000</v>
      </c>
    </row>
    <row r="6" spans="4:6" x14ac:dyDescent="0.25">
      <c r="D6" s="5" t="s">
        <v>22</v>
      </c>
      <c r="E6" s="5" t="s">
        <v>38</v>
      </c>
      <c r="F6" s="5" t="s">
        <v>40</v>
      </c>
    </row>
    <row r="7" spans="4:6" x14ac:dyDescent="0.25">
      <c r="D7" s="3" t="s">
        <v>11</v>
      </c>
      <c r="E7" s="3">
        <v>126</v>
      </c>
      <c r="F7" s="3">
        <f>E7*$E$4/1000</f>
        <v>126</v>
      </c>
    </row>
    <row r="8" spans="4:6" x14ac:dyDescent="0.25">
      <c r="D8" s="3" t="s">
        <v>12</v>
      </c>
      <c r="E8" s="3">
        <v>321</v>
      </c>
      <c r="F8" s="3">
        <f t="shared" ref="F8:F11" si="0">E8*$E$4/1000</f>
        <v>321</v>
      </c>
    </row>
    <row r="9" spans="4:6" x14ac:dyDescent="0.25">
      <c r="D9" s="3" t="s">
        <v>3</v>
      </c>
      <c r="E9" s="3">
        <v>469</v>
      </c>
      <c r="F9" s="3">
        <f t="shared" si="0"/>
        <v>469</v>
      </c>
    </row>
    <row r="10" spans="4:6" x14ac:dyDescent="0.25">
      <c r="D10" s="3" t="s">
        <v>2</v>
      </c>
      <c r="E10" s="3">
        <v>0.65</v>
      </c>
      <c r="F10" s="3">
        <f t="shared" si="0"/>
        <v>0.65</v>
      </c>
    </row>
    <row r="11" spans="4:6" x14ac:dyDescent="0.25">
      <c r="D11" s="3" t="s">
        <v>13</v>
      </c>
      <c r="E11" s="3">
        <v>86.7</v>
      </c>
      <c r="F11" s="3">
        <f t="shared" si="0"/>
        <v>86.7</v>
      </c>
    </row>
    <row r="13" spans="4:6" x14ac:dyDescent="0.25">
      <c r="D13" s="3" t="s">
        <v>60</v>
      </c>
      <c r="E13" s="3">
        <f>F7</f>
        <v>126</v>
      </c>
    </row>
    <row r="15" spans="4:6" x14ac:dyDescent="0.25">
      <c r="D15" s="16" t="s">
        <v>21</v>
      </c>
      <c r="E15" s="16" t="s">
        <v>41</v>
      </c>
      <c r="F15" s="16" t="s">
        <v>54</v>
      </c>
    </row>
    <row r="16" spans="4:6" x14ac:dyDescent="0.25">
      <c r="D16" s="3" t="s">
        <v>16</v>
      </c>
      <c r="E16" s="3">
        <v>670</v>
      </c>
      <c r="F16" s="3">
        <f>E16*$F$7/1000</f>
        <v>84.42</v>
      </c>
    </row>
    <row r="17" spans="3:7" x14ac:dyDescent="0.25">
      <c r="D17" s="3" t="s">
        <v>28</v>
      </c>
      <c r="E17" s="3">
        <v>300</v>
      </c>
      <c r="F17" s="3">
        <f t="shared" ref="F17:F18" si="1">E17*$F$7/1000</f>
        <v>37.799999999999997</v>
      </c>
    </row>
    <row r="18" spans="3:7" x14ac:dyDescent="0.25">
      <c r="D18" s="3" t="s">
        <v>1</v>
      </c>
      <c r="E18" s="3">
        <f>0.03*1000</f>
        <v>30</v>
      </c>
      <c r="F18" s="3">
        <f t="shared" si="1"/>
        <v>3.78</v>
      </c>
    </row>
    <row r="19" spans="3:7" x14ac:dyDescent="0.25">
      <c r="E19" s="1" t="s">
        <v>14</v>
      </c>
      <c r="F19" s="3">
        <f>SUM(F16:F18)</f>
        <v>126</v>
      </c>
    </row>
    <row r="21" spans="3:7" ht="18" x14ac:dyDescent="0.35">
      <c r="D21" s="3" t="s">
        <v>42</v>
      </c>
      <c r="E21" s="8" t="s">
        <v>43</v>
      </c>
    </row>
    <row r="22" spans="3:7" ht="18" x14ac:dyDescent="0.35">
      <c r="E22" t="s">
        <v>44</v>
      </c>
    </row>
    <row r="24" spans="3:7" x14ac:dyDescent="0.25">
      <c r="C24" s="17"/>
      <c r="D24" s="16" t="s">
        <v>21</v>
      </c>
      <c r="E24" s="16" t="s">
        <v>47</v>
      </c>
      <c r="F24" s="16" t="s">
        <v>48</v>
      </c>
      <c r="G24" s="16" t="s">
        <v>49</v>
      </c>
    </row>
    <row r="25" spans="3:7" x14ac:dyDescent="0.25">
      <c r="C25" t="s">
        <v>50</v>
      </c>
      <c r="D25" s="3" t="s">
        <v>45</v>
      </c>
      <c r="E25" s="3">
        <v>1</v>
      </c>
      <c r="F25" s="3">
        <v>100</v>
      </c>
      <c r="G25" s="3">
        <f>E25*1000/F25</f>
        <v>10</v>
      </c>
    </row>
    <row r="26" spans="3:7" x14ac:dyDescent="0.25">
      <c r="C26" t="s">
        <v>51</v>
      </c>
      <c r="D26" s="3" t="s">
        <v>52</v>
      </c>
      <c r="E26" s="3">
        <f>G26*F26/1000</f>
        <v>0.56000000000000005</v>
      </c>
      <c r="F26" s="3">
        <v>56</v>
      </c>
      <c r="G26" s="3">
        <v>10</v>
      </c>
    </row>
    <row r="27" spans="3:7" x14ac:dyDescent="0.25">
      <c r="C27" s="13" t="s">
        <v>51</v>
      </c>
      <c r="D27" s="14" t="s">
        <v>53</v>
      </c>
      <c r="E27" s="14">
        <f>G27*F27/1000</f>
        <v>0.44</v>
      </c>
      <c r="F27" s="14">
        <v>44</v>
      </c>
      <c r="G27" s="14">
        <v>10</v>
      </c>
    </row>
    <row r="29" spans="3:7" x14ac:dyDescent="0.25">
      <c r="D29" s="19" t="s">
        <v>55</v>
      </c>
    </row>
    <row r="31" spans="3:7" x14ac:dyDescent="0.25">
      <c r="D31" s="1" t="s">
        <v>56</v>
      </c>
      <c r="E31" s="3">
        <f>F16</f>
        <v>84.42</v>
      </c>
    </row>
    <row r="32" spans="3:7" x14ac:dyDescent="0.25">
      <c r="D32" s="1" t="s">
        <v>57</v>
      </c>
      <c r="E32" s="3">
        <v>0.56000000000000005</v>
      </c>
    </row>
    <row r="33" spans="4:5" x14ac:dyDescent="0.25">
      <c r="D33" s="20" t="s">
        <v>58</v>
      </c>
      <c r="E33" s="14">
        <v>0.96</v>
      </c>
    </row>
    <row r="34" spans="4:5" x14ac:dyDescent="0.25">
      <c r="D34" s="21" t="s">
        <v>59</v>
      </c>
      <c r="E34" s="7">
        <f>E31/E32/E33</f>
        <v>157.03125</v>
      </c>
    </row>
    <row r="37" spans="4:5" x14ac:dyDescent="0.25">
      <c r="D37" s="22" t="s">
        <v>61</v>
      </c>
    </row>
    <row r="39" spans="4:5" x14ac:dyDescent="0.25">
      <c r="D39" s="1" t="s">
        <v>62</v>
      </c>
      <c r="E39" s="3">
        <f>F17</f>
        <v>37.799999999999997</v>
      </c>
    </row>
    <row r="40" spans="4:5" x14ac:dyDescent="0.25">
      <c r="D40" s="20" t="s">
        <v>63</v>
      </c>
      <c r="E40" s="14">
        <f>1-0.168</f>
        <v>0.83199999999999996</v>
      </c>
    </row>
    <row r="41" spans="4:5" x14ac:dyDescent="0.25">
      <c r="D41" s="1" t="s">
        <v>64</v>
      </c>
      <c r="E41" s="23">
        <f>E39/E40</f>
        <v>45.432692307692307</v>
      </c>
    </row>
    <row r="44" spans="4:5" ht="18" x14ac:dyDescent="0.35">
      <c r="D44" s="17" t="s">
        <v>23</v>
      </c>
      <c r="E44" s="16" t="s">
        <v>66</v>
      </c>
    </row>
    <row r="45" spans="4:5" x14ac:dyDescent="0.25">
      <c r="D45" t="s">
        <v>8</v>
      </c>
      <c r="E45" s="3">
        <v>28</v>
      </c>
    </row>
    <row r="46" spans="4:5" x14ac:dyDescent="0.25">
      <c r="D46" t="s">
        <v>9</v>
      </c>
      <c r="E46" s="3">
        <v>12</v>
      </c>
    </row>
    <row r="47" spans="4:5" x14ac:dyDescent="0.25">
      <c r="D47" t="s">
        <v>10</v>
      </c>
      <c r="E47" s="3">
        <v>135</v>
      </c>
    </row>
    <row r="50" spans="4:12" x14ac:dyDescent="0.25">
      <c r="D50" s="2" t="s">
        <v>23</v>
      </c>
    </row>
    <row r="51" spans="4:12" x14ac:dyDescent="0.25">
      <c r="D51" s="2"/>
      <c r="E51" s="2"/>
      <c r="F51" s="2"/>
      <c r="G51" s="2"/>
      <c r="H51" s="2"/>
      <c r="I51" s="2"/>
      <c r="J51" s="35" t="s">
        <v>35</v>
      </c>
      <c r="K51" s="35"/>
    </row>
    <row r="52" spans="4:12" x14ac:dyDescent="0.25">
      <c r="D52" s="11" t="s">
        <v>21</v>
      </c>
      <c r="E52" s="11" t="s">
        <v>18</v>
      </c>
      <c r="F52" s="11" t="s">
        <v>19</v>
      </c>
      <c r="G52" s="11" t="s">
        <v>4</v>
      </c>
      <c r="H52" s="12" t="s">
        <v>26</v>
      </c>
      <c r="I52" s="12" t="s">
        <v>46</v>
      </c>
      <c r="J52" s="12" t="s">
        <v>36</v>
      </c>
      <c r="K52" s="11" t="s">
        <v>37</v>
      </c>
      <c r="L52" s="24" t="s">
        <v>65</v>
      </c>
    </row>
    <row r="53" spans="4:12" x14ac:dyDescent="0.25">
      <c r="D53" t="s">
        <v>0</v>
      </c>
      <c r="E53" t="s">
        <v>6</v>
      </c>
      <c r="F53" t="s">
        <v>25</v>
      </c>
      <c r="G53" s="3">
        <v>20</v>
      </c>
      <c r="H53" s="3" t="s">
        <v>27</v>
      </c>
      <c r="I53" s="7">
        <f>E34</f>
        <v>157.03125</v>
      </c>
      <c r="J53" s="3">
        <v>135</v>
      </c>
      <c r="K53" s="4">
        <f>G53*J53/1000</f>
        <v>2.7</v>
      </c>
      <c r="L53" s="7">
        <f>I53*K53</f>
        <v>423.984375</v>
      </c>
    </row>
    <row r="54" spans="4:12" x14ac:dyDescent="0.25">
      <c r="D54" t="s">
        <v>28</v>
      </c>
      <c r="E54" t="s">
        <v>29</v>
      </c>
      <c r="F54" t="s">
        <v>25</v>
      </c>
      <c r="G54" s="3">
        <v>91.3</v>
      </c>
      <c r="H54" s="3" t="s">
        <v>27</v>
      </c>
      <c r="I54" s="23">
        <f>E41</f>
        <v>45.432692307692307</v>
      </c>
      <c r="J54" s="3">
        <v>135</v>
      </c>
      <c r="K54" s="4">
        <f t="shared" ref="K54:K59" si="2">G54*J54/1000</f>
        <v>12.3255</v>
      </c>
      <c r="L54" s="7">
        <f t="shared" ref="L54:L59" si="3">I54*K54</f>
        <v>559.98064903846148</v>
      </c>
    </row>
    <row r="55" spans="4:12" x14ac:dyDescent="0.25">
      <c r="D55" t="s">
        <v>1</v>
      </c>
      <c r="E55" t="s">
        <v>5</v>
      </c>
      <c r="F55" t="s">
        <v>30</v>
      </c>
      <c r="G55" s="3">
        <v>64</v>
      </c>
      <c r="H55" s="3" t="s">
        <v>24</v>
      </c>
      <c r="I55" s="3">
        <f>$F$18</f>
        <v>3.78</v>
      </c>
      <c r="J55" s="3">
        <v>28</v>
      </c>
      <c r="K55" s="4">
        <f t="shared" si="2"/>
        <v>1.792</v>
      </c>
      <c r="L55" s="7">
        <f t="shared" si="3"/>
        <v>6.7737600000000002</v>
      </c>
    </row>
    <row r="56" spans="4:12" x14ac:dyDescent="0.25">
      <c r="D56" t="s">
        <v>1</v>
      </c>
      <c r="E56" t="s">
        <v>30</v>
      </c>
      <c r="F56" t="s">
        <v>31</v>
      </c>
      <c r="G56" s="7">
        <f>2768*1.852</f>
        <v>5126.3360000000002</v>
      </c>
      <c r="H56" s="3" t="s">
        <v>32</v>
      </c>
      <c r="I56" s="3">
        <f t="shared" ref="I56:I57" si="4">$F$18</f>
        <v>3.78</v>
      </c>
      <c r="J56" s="3">
        <v>12</v>
      </c>
      <c r="K56" s="4">
        <f t="shared" si="2"/>
        <v>61.51603200000001</v>
      </c>
      <c r="L56" s="7">
        <f t="shared" si="3"/>
        <v>232.53060096000002</v>
      </c>
    </row>
    <row r="57" spans="4:12" x14ac:dyDescent="0.25">
      <c r="D57" t="s">
        <v>1</v>
      </c>
      <c r="E57" t="s">
        <v>31</v>
      </c>
      <c r="F57" t="s">
        <v>25</v>
      </c>
      <c r="G57" s="3">
        <v>143</v>
      </c>
      <c r="H57" s="3" t="s">
        <v>27</v>
      </c>
      <c r="I57" s="3">
        <f t="shared" si="4"/>
        <v>3.78</v>
      </c>
      <c r="J57" s="3">
        <v>135</v>
      </c>
      <c r="K57" s="4">
        <f t="shared" si="2"/>
        <v>19.305</v>
      </c>
      <c r="L57" s="7">
        <f t="shared" si="3"/>
        <v>72.972899999999996</v>
      </c>
    </row>
    <row r="58" spans="4:12" x14ac:dyDescent="0.25">
      <c r="D58" t="s">
        <v>11</v>
      </c>
      <c r="E58" t="s">
        <v>25</v>
      </c>
      <c r="F58" t="s">
        <v>33</v>
      </c>
      <c r="G58" s="3">
        <v>73.400000000000006</v>
      </c>
      <c r="H58" s="3" t="s">
        <v>27</v>
      </c>
      <c r="I58" s="3">
        <f>F7</f>
        <v>126</v>
      </c>
      <c r="J58" s="3">
        <v>135</v>
      </c>
      <c r="K58" s="4">
        <f t="shared" si="2"/>
        <v>9.9090000000000007</v>
      </c>
      <c r="L58" s="7">
        <f t="shared" si="3"/>
        <v>1248.5340000000001</v>
      </c>
    </row>
    <row r="59" spans="4:12" x14ac:dyDescent="0.25">
      <c r="D59" s="13" t="s">
        <v>17</v>
      </c>
      <c r="E59" s="13" t="s">
        <v>34</v>
      </c>
      <c r="F59" s="13" t="s">
        <v>33</v>
      </c>
      <c r="G59" s="14">
        <v>8.1</v>
      </c>
      <c r="H59" s="14" t="s">
        <v>27</v>
      </c>
      <c r="I59" s="14">
        <f>F9+F8</f>
        <v>790</v>
      </c>
      <c r="J59" s="14">
        <v>135</v>
      </c>
      <c r="K59" s="15">
        <f t="shared" si="2"/>
        <v>1.0934999999999999</v>
      </c>
      <c r="L59" s="25">
        <f t="shared" si="3"/>
        <v>863.8649999999999</v>
      </c>
    </row>
    <row r="60" spans="4:12" x14ac:dyDescent="0.25">
      <c r="K60" s="10" t="s">
        <v>14</v>
      </c>
      <c r="L60" s="9">
        <f>SUM(L53:L59)</f>
        <v>3408.6412849984617</v>
      </c>
    </row>
    <row r="65" spans="4:9" ht="18" x14ac:dyDescent="0.35">
      <c r="D65" s="17" t="s">
        <v>21</v>
      </c>
      <c r="E65" s="16" t="s">
        <v>40</v>
      </c>
      <c r="F65" s="16" t="s">
        <v>67</v>
      </c>
      <c r="G65" s="16" t="s">
        <v>68</v>
      </c>
    </row>
    <row r="66" spans="4:9" x14ac:dyDescent="0.25">
      <c r="D66" t="s">
        <v>0</v>
      </c>
      <c r="E66" s="3">
        <v>157</v>
      </c>
      <c r="F66" s="3">
        <v>2.7360000000000002</v>
      </c>
      <c r="G66" s="7">
        <f>E66*F66</f>
        <v>429.55200000000002</v>
      </c>
    </row>
    <row r="67" spans="4:9" x14ac:dyDescent="0.25">
      <c r="D67" t="s">
        <v>28</v>
      </c>
      <c r="E67" s="3">
        <v>45.4</v>
      </c>
      <c r="F67" s="3">
        <v>2.7360000000000002</v>
      </c>
      <c r="G67" s="7">
        <f t="shared" ref="G67:G69" si="5">E67*F67</f>
        <v>124.21440000000001</v>
      </c>
    </row>
    <row r="68" spans="4:9" x14ac:dyDescent="0.25">
      <c r="D68" t="s">
        <v>1</v>
      </c>
      <c r="E68" s="3">
        <v>3.78</v>
      </c>
      <c r="F68" s="3">
        <v>5.4960000000000004</v>
      </c>
      <c r="G68" s="7">
        <f t="shared" si="5"/>
        <v>20.77488</v>
      </c>
    </row>
    <row r="69" spans="4:9" x14ac:dyDescent="0.25">
      <c r="D69" s="26" t="s">
        <v>17</v>
      </c>
      <c r="E69" s="3">
        <v>790</v>
      </c>
      <c r="F69" s="3">
        <v>2.7360000000000002</v>
      </c>
      <c r="G69" s="7">
        <f t="shared" si="5"/>
        <v>2161.44</v>
      </c>
    </row>
    <row r="70" spans="4:9" x14ac:dyDescent="0.25">
      <c r="D70" s="27" t="s">
        <v>13</v>
      </c>
      <c r="E70" s="14">
        <f>F11</f>
        <v>86.7</v>
      </c>
      <c r="F70" s="14">
        <v>0.42</v>
      </c>
      <c r="G70" s="25">
        <f>E70*F70</f>
        <v>36.414000000000001</v>
      </c>
    </row>
    <row r="71" spans="4:9" x14ac:dyDescent="0.25">
      <c r="F71" s="10" t="s">
        <v>14</v>
      </c>
      <c r="G71" s="9">
        <f>SUM(G66:G70)</f>
        <v>2772.3952800000002</v>
      </c>
    </row>
    <row r="72" spans="4:9" x14ac:dyDescent="0.25">
      <c r="F72" s="10"/>
      <c r="G72" s="9"/>
    </row>
    <row r="74" spans="4:9" x14ac:dyDescent="0.25">
      <c r="D74" t="s">
        <v>75</v>
      </c>
      <c r="F74" s="18">
        <v>3.1E-2</v>
      </c>
    </row>
    <row r="76" spans="4:9" x14ac:dyDescent="0.25">
      <c r="D76" s="29" t="s">
        <v>69</v>
      </c>
      <c r="E76" s="16" t="s">
        <v>40</v>
      </c>
      <c r="F76" s="16" t="s">
        <v>70</v>
      </c>
      <c r="G76" s="17" t="s">
        <v>71</v>
      </c>
      <c r="H76" s="16" t="s">
        <v>73</v>
      </c>
      <c r="I76" s="17" t="s">
        <v>74</v>
      </c>
    </row>
    <row r="77" spans="4:9" x14ac:dyDescent="0.25">
      <c r="D77" s="1" t="s">
        <v>7</v>
      </c>
      <c r="E77" s="3">
        <f>E66+E67</f>
        <v>202.4</v>
      </c>
      <c r="F77" s="3">
        <v>25</v>
      </c>
      <c r="G77" s="3">
        <f>E77*F77</f>
        <v>5060</v>
      </c>
      <c r="H77" s="3">
        <f>G77*3.6</f>
        <v>18216</v>
      </c>
      <c r="I77" s="7">
        <f>H77*$F$74</f>
        <v>564.69600000000003</v>
      </c>
    </row>
    <row r="78" spans="4:9" x14ac:dyDescent="0.25">
      <c r="D78" s="20" t="s">
        <v>72</v>
      </c>
      <c r="E78" s="14">
        <f>F19</f>
        <v>126</v>
      </c>
      <c r="F78" s="14">
        <v>35</v>
      </c>
      <c r="G78" s="14">
        <f>E78*F78</f>
        <v>4410</v>
      </c>
      <c r="H78" s="14">
        <f>G78*3.6</f>
        <v>15876</v>
      </c>
      <c r="I78" s="25">
        <f>H78*$F$74</f>
        <v>492.15600000000001</v>
      </c>
    </row>
    <row r="79" spans="4:9" x14ac:dyDescent="0.25">
      <c r="H79" s="10" t="s">
        <v>14</v>
      </c>
      <c r="I79" s="9">
        <f>SUM(I77:I78)</f>
        <v>1056.8520000000001</v>
      </c>
    </row>
    <row r="81" spans="4:10" ht="45" x14ac:dyDescent="0.25">
      <c r="D81" s="29" t="s">
        <v>21</v>
      </c>
      <c r="E81" s="12" t="s">
        <v>77</v>
      </c>
      <c r="F81" s="12" t="s">
        <v>81</v>
      </c>
      <c r="G81" s="12" t="s">
        <v>82</v>
      </c>
      <c r="H81" s="12" t="s">
        <v>83</v>
      </c>
    </row>
    <row r="82" spans="4:10" x14ac:dyDescent="0.25">
      <c r="D82" s="1" t="s">
        <v>0</v>
      </c>
      <c r="E82" s="3">
        <v>0.02</v>
      </c>
      <c r="F82" s="3">
        <v>0.90900000000000003</v>
      </c>
    </row>
    <row r="83" spans="4:10" x14ac:dyDescent="0.25">
      <c r="D83" s="1" t="s">
        <v>28</v>
      </c>
      <c r="E83" s="3">
        <f>1-E40</f>
        <v>0.16800000000000004</v>
      </c>
      <c r="F83" s="3">
        <v>0.878</v>
      </c>
    </row>
    <row r="84" spans="4:10" x14ac:dyDescent="0.25">
      <c r="D84" s="1" t="s">
        <v>13</v>
      </c>
      <c r="F84" s="3">
        <v>4.1820000000000004</v>
      </c>
      <c r="G84" s="3">
        <v>2257</v>
      </c>
      <c r="H84" s="3">
        <v>100</v>
      </c>
    </row>
    <row r="85" spans="4:10" x14ac:dyDescent="0.25">
      <c r="D85" s="1"/>
      <c r="F85" s="3"/>
      <c r="G85" s="3"/>
      <c r="H85" s="3"/>
    </row>
    <row r="86" spans="4:10" x14ac:dyDescent="0.25">
      <c r="D86" s="1" t="s">
        <v>84</v>
      </c>
      <c r="E86" s="3">
        <v>25</v>
      </c>
      <c r="H86" s="1" t="s">
        <v>91</v>
      </c>
      <c r="I86" s="3">
        <v>30</v>
      </c>
    </row>
    <row r="87" spans="4:10" ht="18" x14ac:dyDescent="0.35">
      <c r="D87" s="1" t="s">
        <v>85</v>
      </c>
      <c r="E87" s="3">
        <v>800</v>
      </c>
      <c r="H87" s="1" t="s">
        <v>94</v>
      </c>
      <c r="I87" s="3">
        <v>3.32</v>
      </c>
    </row>
    <row r="88" spans="4:10" x14ac:dyDescent="0.25">
      <c r="D88" s="1" t="s">
        <v>86</v>
      </c>
      <c r="E88" s="3">
        <v>0.8</v>
      </c>
    </row>
    <row r="89" spans="4:10" x14ac:dyDescent="0.25">
      <c r="D89" s="1"/>
      <c r="E89" s="3"/>
    </row>
    <row r="90" spans="4:10" ht="30" x14ac:dyDescent="0.25">
      <c r="D90" s="29" t="s">
        <v>76</v>
      </c>
      <c r="E90" s="12" t="s">
        <v>78</v>
      </c>
      <c r="F90" s="12" t="s">
        <v>79</v>
      </c>
      <c r="G90" s="12" t="s">
        <v>80</v>
      </c>
      <c r="H90" s="12" t="s">
        <v>87</v>
      </c>
      <c r="I90" s="12" t="s">
        <v>88</v>
      </c>
      <c r="J90" s="12" t="s">
        <v>89</v>
      </c>
    </row>
    <row r="91" spans="4:10" x14ac:dyDescent="0.25">
      <c r="D91" s="1" t="s">
        <v>0</v>
      </c>
      <c r="E91" s="3">
        <f>E66</f>
        <v>157</v>
      </c>
      <c r="F91" s="3">
        <f>E91-G91</f>
        <v>153.86000000000001</v>
      </c>
      <c r="G91" s="3">
        <f>E91*E82</f>
        <v>3.14</v>
      </c>
      <c r="H91" s="7">
        <f>(G91*1000*(($F$84*($H$84-$E$86))+($G$84)))/1000</f>
        <v>8071.8410000000003</v>
      </c>
      <c r="I91" s="7">
        <f>(($E$87-$E$86)*F82*F91*1000)/1000</f>
        <v>108390.52350000001</v>
      </c>
      <c r="J91" s="7">
        <f>H91+I91</f>
        <v>116462.36450000001</v>
      </c>
    </row>
    <row r="92" spans="4:10" x14ac:dyDescent="0.25">
      <c r="D92" s="20" t="s">
        <v>28</v>
      </c>
      <c r="E92" s="14">
        <f>E67</f>
        <v>45.4</v>
      </c>
      <c r="F92" s="14">
        <f>E92-G92</f>
        <v>37.772799999999997</v>
      </c>
      <c r="G92" s="14">
        <f>E92*E83</f>
        <v>7.6272000000000011</v>
      </c>
      <c r="H92" s="25">
        <f>(G92*1000*(($F$84*($H$84-$E$86))+($G$84)))/1000</f>
        <v>19606.861680000002</v>
      </c>
      <c r="I92" s="25">
        <f>(($E$87-$E$86)*F83*F92*1000)/1000</f>
        <v>25702.501759999999</v>
      </c>
      <c r="J92" s="25">
        <f>H92+I92</f>
        <v>45309.363440000001</v>
      </c>
    </row>
    <row r="93" spans="4:10" x14ac:dyDescent="0.25">
      <c r="D93" s="1"/>
      <c r="I93" s="28" t="s">
        <v>89</v>
      </c>
      <c r="J93" s="7">
        <f>SUM(J91:J92)</f>
        <v>161771.72794000001</v>
      </c>
    </row>
    <row r="94" spans="4:10" x14ac:dyDescent="0.25">
      <c r="I94" s="28" t="s">
        <v>90</v>
      </c>
      <c r="J94" s="7">
        <f>J93/E88</f>
        <v>202214.65992500001</v>
      </c>
    </row>
    <row r="95" spans="4:10" x14ac:dyDescent="0.25">
      <c r="I95" s="28" t="s">
        <v>92</v>
      </c>
      <c r="J95" s="7">
        <f>(J94/I86)</f>
        <v>6740.4886641666671</v>
      </c>
    </row>
    <row r="96" spans="4:10" ht="18" x14ac:dyDescent="0.35">
      <c r="I96" s="28" t="s">
        <v>95</v>
      </c>
      <c r="J96" s="7">
        <f>J95*I87</f>
        <v>22378.422365033333</v>
      </c>
    </row>
    <row r="98" spans="4:8" x14ac:dyDescent="0.25">
      <c r="E98" s="36" t="s">
        <v>15</v>
      </c>
      <c r="F98" s="36"/>
      <c r="G98" s="36"/>
    </row>
    <row r="99" spans="4:8" x14ac:dyDescent="0.25">
      <c r="E99" s="16" t="s">
        <v>104</v>
      </c>
      <c r="F99" s="16" t="s">
        <v>97</v>
      </c>
      <c r="G99" s="16" t="s">
        <v>98</v>
      </c>
    </row>
    <row r="100" spans="4:8" x14ac:dyDescent="0.25">
      <c r="E100" s="23">
        <f>F91</f>
        <v>153.86000000000001</v>
      </c>
      <c r="F100" s="23">
        <f>E100*E26</f>
        <v>86.161600000000021</v>
      </c>
      <c r="G100" s="23">
        <f>E100*E27</f>
        <v>67.698400000000007</v>
      </c>
    </row>
    <row r="104" spans="4:8" x14ac:dyDescent="0.25">
      <c r="E104" s="1" t="s">
        <v>91</v>
      </c>
      <c r="F104" s="3">
        <v>30</v>
      </c>
    </row>
    <row r="105" spans="4:8" ht="18" x14ac:dyDescent="0.35">
      <c r="E105" s="1" t="s">
        <v>94</v>
      </c>
      <c r="F105" s="3">
        <v>3.32</v>
      </c>
    </row>
    <row r="107" spans="4:8" x14ac:dyDescent="0.25">
      <c r="D107" s="10" t="s">
        <v>99</v>
      </c>
    </row>
    <row r="108" spans="4:8" ht="30" x14ac:dyDescent="0.25">
      <c r="D108" s="12" t="s">
        <v>100</v>
      </c>
      <c r="E108" s="12" t="s">
        <v>101</v>
      </c>
      <c r="F108" s="12" t="s">
        <v>102</v>
      </c>
      <c r="G108" s="12" t="s">
        <v>93</v>
      </c>
      <c r="H108" s="12" t="s">
        <v>103</v>
      </c>
    </row>
    <row r="109" spans="4:8" x14ac:dyDescent="0.25">
      <c r="D109" s="23">
        <f>F91+F92</f>
        <v>191.6328</v>
      </c>
      <c r="E109" s="3">
        <v>4.5</v>
      </c>
      <c r="F109" s="7">
        <f>D109*1000*E109</f>
        <v>862347.60000000009</v>
      </c>
      <c r="G109" s="7">
        <f>F109/F104/1000</f>
        <v>28.74492</v>
      </c>
      <c r="H109" s="23">
        <f>G109*F105</f>
        <v>95.4331344</v>
      </c>
    </row>
    <row r="113" spans="4:7" ht="34.5" x14ac:dyDescent="0.35">
      <c r="D113" s="29" t="s">
        <v>20</v>
      </c>
      <c r="E113" s="12" t="s">
        <v>95</v>
      </c>
      <c r="F113" s="12" t="s">
        <v>109</v>
      </c>
      <c r="G113" s="16" t="s">
        <v>110</v>
      </c>
    </row>
    <row r="114" spans="4:7" x14ac:dyDescent="0.25">
      <c r="D114" s="30" t="s">
        <v>105</v>
      </c>
      <c r="E114" s="7">
        <f>G71</f>
        <v>2772.3952800000002</v>
      </c>
      <c r="F114" s="23">
        <f>E114/$E$4</f>
        <v>2.77239528</v>
      </c>
      <c r="G114" s="23">
        <f>(F114/$F$120)*100</f>
        <v>1.4383534483889955</v>
      </c>
    </row>
    <row r="115" spans="4:7" x14ac:dyDescent="0.25">
      <c r="D115" s="1" t="s">
        <v>106</v>
      </c>
      <c r="E115" s="7">
        <f>L60</f>
        <v>3408.6412849984617</v>
      </c>
      <c r="F115" s="23">
        <f t="shared" ref="F115:F120" si="6">E115/$E$4</f>
        <v>3.4086412849984615</v>
      </c>
      <c r="G115" s="23">
        <f t="shared" ref="G115:G119" si="7">(F115/$F$120)*100</f>
        <v>1.768445856897662</v>
      </c>
    </row>
    <row r="116" spans="4:7" x14ac:dyDescent="0.25">
      <c r="D116" s="1" t="s">
        <v>107</v>
      </c>
      <c r="E116" s="7">
        <f>I77</f>
        <v>564.69600000000003</v>
      </c>
      <c r="F116" s="23">
        <f t="shared" si="6"/>
        <v>0.56469599999999998</v>
      </c>
      <c r="G116" s="23">
        <f t="shared" si="7"/>
        <v>0.29297136838707649</v>
      </c>
    </row>
    <row r="117" spans="4:7" x14ac:dyDescent="0.25">
      <c r="D117" s="1" t="s">
        <v>76</v>
      </c>
      <c r="E117" s="7">
        <f>J96</f>
        <v>22378.422365033333</v>
      </c>
      <c r="F117" s="23">
        <f t="shared" si="6"/>
        <v>22.378422365033334</v>
      </c>
      <c r="G117" s="23">
        <f t="shared" si="7"/>
        <v>11.610206239512539</v>
      </c>
    </row>
    <row r="118" spans="4:7" x14ac:dyDescent="0.25">
      <c r="D118" s="1" t="s">
        <v>96</v>
      </c>
      <c r="E118" s="7">
        <f>(G100+H109)*1000</f>
        <v>163131.53440000003</v>
      </c>
      <c r="F118" s="23">
        <f t="shared" si="6"/>
        <v>163.13153440000002</v>
      </c>
      <c r="G118" s="23">
        <f t="shared" si="7"/>
        <v>84.634686380373608</v>
      </c>
    </row>
    <row r="119" spans="4:7" x14ac:dyDescent="0.25">
      <c r="D119" s="1" t="s">
        <v>108</v>
      </c>
      <c r="E119" s="7">
        <f>I78</f>
        <v>492.15600000000001</v>
      </c>
      <c r="F119" s="23">
        <f t="shared" si="6"/>
        <v>0.49215599999999998</v>
      </c>
      <c r="G119" s="23">
        <f t="shared" si="7"/>
        <v>0.25533670644012008</v>
      </c>
    </row>
    <row r="120" spans="4:7" x14ac:dyDescent="0.25">
      <c r="D120" s="1" t="s">
        <v>14</v>
      </c>
      <c r="E120" s="7">
        <f>SUM(E114:E119)</f>
        <v>192747.84533003182</v>
      </c>
      <c r="F120" s="23">
        <f t="shared" si="6"/>
        <v>192.74784533003182</v>
      </c>
    </row>
    <row r="123" spans="4:7" x14ac:dyDescent="0.25">
      <c r="D123" s="1" t="s">
        <v>118</v>
      </c>
      <c r="E123" s="7">
        <f>G109+(J95/1000)</f>
        <v>35.48540866416667</v>
      </c>
    </row>
    <row r="124" spans="4:7" x14ac:dyDescent="0.25">
      <c r="D124" s="1" t="s">
        <v>117</v>
      </c>
      <c r="E124" s="7">
        <f>292*1.46</f>
        <v>426.32</v>
      </c>
    </row>
    <row r="125" spans="4:7" x14ac:dyDescent="0.25">
      <c r="D125" s="1" t="s">
        <v>119</v>
      </c>
      <c r="E125" s="7">
        <f>E123*E124</f>
        <v>15128.139421707534</v>
      </c>
    </row>
    <row r="126" spans="4:7" x14ac:dyDescent="0.25">
      <c r="D126" s="1" t="s">
        <v>121</v>
      </c>
      <c r="E126" s="3">
        <v>75</v>
      </c>
    </row>
    <row r="127" spans="4:7" x14ac:dyDescent="0.25">
      <c r="D127" s="1" t="s">
        <v>122</v>
      </c>
      <c r="E127" s="3">
        <v>2</v>
      </c>
    </row>
    <row r="128" spans="4:7" x14ac:dyDescent="0.25">
      <c r="D128" s="1" t="s">
        <v>123</v>
      </c>
      <c r="E128" s="23">
        <f>(E120/1000)/E127</f>
        <v>96.373922665015911</v>
      </c>
    </row>
    <row r="129" spans="4:5" x14ac:dyDescent="0.25">
      <c r="D129" s="1" t="s">
        <v>124</v>
      </c>
      <c r="E129" s="7">
        <f>E126*E128</f>
        <v>7228.0441998761935</v>
      </c>
    </row>
    <row r="131" spans="4:5" x14ac:dyDescent="0.25">
      <c r="D131" s="1" t="s">
        <v>125</v>
      </c>
      <c r="E131" s="7">
        <f>E125+E129</f>
        <v>22356.183621583728</v>
      </c>
    </row>
    <row r="132" spans="4:5" x14ac:dyDescent="0.25">
      <c r="D132" s="1" t="s">
        <v>126</v>
      </c>
      <c r="E132" s="7">
        <f>E131/1000</f>
        <v>22.356183621583728</v>
      </c>
    </row>
    <row r="134" spans="4:5" x14ac:dyDescent="0.25">
      <c r="D134" t="s">
        <v>120</v>
      </c>
    </row>
  </sheetData>
  <mergeCells count="2">
    <mergeCell ref="J51:K51"/>
    <mergeCell ref="E98:G9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5AADA-B895-48C3-9640-6451CAB49A73}">
  <dimension ref="C2:L133"/>
  <sheetViews>
    <sheetView topLeftCell="A103" workbookViewId="0">
      <selection activeCell="H120" sqref="H120"/>
    </sheetView>
  </sheetViews>
  <sheetFormatPr defaultRowHeight="15" x14ac:dyDescent="0.25"/>
  <cols>
    <col min="4" max="4" width="23.28515625" customWidth="1"/>
    <col min="5" max="5" width="27.28515625" customWidth="1"/>
    <col min="6" max="6" width="22.140625" customWidth="1"/>
    <col min="7" max="7" width="13.85546875" customWidth="1"/>
    <col min="8" max="9" width="17.42578125" customWidth="1"/>
    <col min="10" max="10" width="18.42578125" customWidth="1"/>
    <col min="11" max="11" width="14.7109375" customWidth="1"/>
  </cols>
  <sheetData>
    <row r="2" spans="4:6" x14ac:dyDescent="0.25">
      <c r="D2" s="2" t="s">
        <v>112</v>
      </c>
    </row>
    <row r="4" spans="4:6" x14ac:dyDescent="0.25">
      <c r="D4" s="10" t="s">
        <v>39</v>
      </c>
      <c r="E4" s="10">
        <v>1000</v>
      </c>
    </row>
    <row r="6" spans="4:6" x14ac:dyDescent="0.25">
      <c r="D6" s="10" t="s">
        <v>22</v>
      </c>
      <c r="E6" s="10" t="s">
        <v>38</v>
      </c>
      <c r="F6" s="10" t="s">
        <v>40</v>
      </c>
    </row>
    <row r="7" spans="4:6" x14ac:dyDescent="0.25">
      <c r="D7" s="3" t="s">
        <v>11</v>
      </c>
      <c r="E7" s="3">
        <v>126</v>
      </c>
      <c r="F7" s="3">
        <f>E7*$E$4/1000</f>
        <v>126</v>
      </c>
    </row>
    <row r="8" spans="4:6" x14ac:dyDescent="0.25">
      <c r="D8" s="3" t="s">
        <v>12</v>
      </c>
      <c r="E8" s="3">
        <v>321</v>
      </c>
      <c r="F8" s="3">
        <f t="shared" ref="F8:F11" si="0">E8*$E$4/1000</f>
        <v>321</v>
      </c>
    </row>
    <row r="9" spans="4:6" x14ac:dyDescent="0.25">
      <c r="D9" s="3" t="s">
        <v>3</v>
      </c>
      <c r="E9" s="3">
        <v>469</v>
      </c>
      <c r="F9" s="3">
        <f t="shared" si="0"/>
        <v>469</v>
      </c>
    </row>
    <row r="10" spans="4:6" x14ac:dyDescent="0.25">
      <c r="D10" s="3" t="s">
        <v>2</v>
      </c>
      <c r="E10" s="3">
        <v>0.65</v>
      </c>
      <c r="F10" s="3">
        <f t="shared" si="0"/>
        <v>0.65</v>
      </c>
    </row>
    <row r="11" spans="4:6" x14ac:dyDescent="0.25">
      <c r="D11" s="3" t="s">
        <v>13</v>
      </c>
      <c r="E11" s="3">
        <v>86.7</v>
      </c>
      <c r="F11" s="3">
        <f t="shared" si="0"/>
        <v>86.7</v>
      </c>
    </row>
    <row r="13" spans="4:6" x14ac:dyDescent="0.25">
      <c r="D13" s="3" t="s">
        <v>60</v>
      </c>
      <c r="E13" s="3">
        <f>F7</f>
        <v>126</v>
      </c>
    </row>
    <row r="15" spans="4:6" x14ac:dyDescent="0.25">
      <c r="D15" s="16" t="s">
        <v>21</v>
      </c>
      <c r="E15" s="16" t="s">
        <v>41</v>
      </c>
      <c r="F15" s="16" t="s">
        <v>54</v>
      </c>
    </row>
    <row r="16" spans="4:6" x14ac:dyDescent="0.25">
      <c r="D16" s="3" t="s">
        <v>16</v>
      </c>
      <c r="E16" s="3">
        <v>670</v>
      </c>
      <c r="F16" s="3">
        <f>E16*$F$7/1000</f>
        <v>84.42</v>
      </c>
    </row>
    <row r="17" spans="3:7" x14ac:dyDescent="0.25">
      <c r="D17" s="3" t="s">
        <v>28</v>
      </c>
      <c r="E17" s="3">
        <v>300</v>
      </c>
      <c r="F17" s="3">
        <f t="shared" ref="F17:F18" si="1">E17*$F$7/1000</f>
        <v>37.799999999999997</v>
      </c>
    </row>
    <row r="18" spans="3:7" x14ac:dyDescent="0.25">
      <c r="D18" s="3" t="s">
        <v>1</v>
      </c>
      <c r="E18" s="3">
        <f>0.03*1000</f>
        <v>30</v>
      </c>
      <c r="F18" s="3">
        <f t="shared" si="1"/>
        <v>3.78</v>
      </c>
    </row>
    <row r="19" spans="3:7" x14ac:dyDescent="0.25">
      <c r="E19" s="1" t="s">
        <v>14</v>
      </c>
      <c r="F19" s="3">
        <f>SUM(F16:F18)</f>
        <v>126</v>
      </c>
    </row>
    <row r="21" spans="3:7" ht="18" x14ac:dyDescent="0.35">
      <c r="D21" s="3" t="s">
        <v>42</v>
      </c>
      <c r="E21" s="8" t="s">
        <v>43</v>
      </c>
    </row>
    <row r="22" spans="3:7" ht="18" x14ac:dyDescent="0.35">
      <c r="E22" t="s">
        <v>44</v>
      </c>
    </row>
    <row r="24" spans="3:7" x14ac:dyDescent="0.25">
      <c r="C24" s="17"/>
      <c r="D24" s="16" t="s">
        <v>21</v>
      </c>
      <c r="E24" s="16" t="s">
        <v>47</v>
      </c>
      <c r="F24" s="16" t="s">
        <v>48</v>
      </c>
      <c r="G24" s="16" t="s">
        <v>49</v>
      </c>
    </row>
    <row r="25" spans="3:7" x14ac:dyDescent="0.25">
      <c r="C25" t="s">
        <v>50</v>
      </c>
      <c r="D25" s="3" t="s">
        <v>45</v>
      </c>
      <c r="E25" s="3">
        <v>1</v>
      </c>
      <c r="F25" s="3">
        <v>100</v>
      </c>
      <c r="G25" s="3">
        <f>E25*1000/F25</f>
        <v>10</v>
      </c>
    </row>
    <row r="26" spans="3:7" x14ac:dyDescent="0.25">
      <c r="C26" t="s">
        <v>51</v>
      </c>
      <c r="D26" s="3" t="s">
        <v>52</v>
      </c>
      <c r="E26" s="3">
        <f>G26*F26/1000</f>
        <v>0.56000000000000005</v>
      </c>
      <c r="F26" s="3">
        <v>56</v>
      </c>
      <c r="G26" s="3">
        <v>10</v>
      </c>
    </row>
    <row r="27" spans="3:7" x14ac:dyDescent="0.25">
      <c r="C27" s="13" t="s">
        <v>51</v>
      </c>
      <c r="D27" s="14" t="s">
        <v>53</v>
      </c>
      <c r="E27" s="14">
        <f>G27*F27/1000</f>
        <v>0.44</v>
      </c>
      <c r="F27" s="14">
        <v>44</v>
      </c>
      <c r="G27" s="14">
        <v>10</v>
      </c>
    </row>
    <row r="29" spans="3:7" x14ac:dyDescent="0.25">
      <c r="D29" s="19" t="s">
        <v>55</v>
      </c>
    </row>
    <row r="31" spans="3:7" x14ac:dyDescent="0.25">
      <c r="D31" s="1" t="s">
        <v>56</v>
      </c>
      <c r="E31" s="3">
        <f>F16</f>
        <v>84.42</v>
      </c>
    </row>
    <row r="32" spans="3:7" x14ac:dyDescent="0.25">
      <c r="D32" s="1" t="s">
        <v>57</v>
      </c>
      <c r="E32" s="3">
        <v>0.56000000000000005</v>
      </c>
    </row>
    <row r="33" spans="4:5" x14ac:dyDescent="0.25">
      <c r="D33" s="20" t="s">
        <v>58</v>
      </c>
      <c r="E33" s="14">
        <v>0.96</v>
      </c>
    </row>
    <row r="34" spans="4:5" x14ac:dyDescent="0.25">
      <c r="D34" s="21" t="s">
        <v>59</v>
      </c>
      <c r="E34" s="7">
        <f>E31/E32/E33</f>
        <v>157.03125</v>
      </c>
    </row>
    <row r="37" spans="4:5" x14ac:dyDescent="0.25">
      <c r="D37" s="22" t="s">
        <v>61</v>
      </c>
    </row>
    <row r="39" spans="4:5" x14ac:dyDescent="0.25">
      <c r="D39" s="1" t="s">
        <v>62</v>
      </c>
      <c r="E39" s="3">
        <f>F17</f>
        <v>37.799999999999997</v>
      </c>
    </row>
    <row r="40" spans="4:5" x14ac:dyDescent="0.25">
      <c r="D40" s="20" t="s">
        <v>63</v>
      </c>
      <c r="E40" s="14">
        <f>1-0.168</f>
        <v>0.83199999999999996</v>
      </c>
    </row>
    <row r="41" spans="4:5" x14ac:dyDescent="0.25">
      <c r="D41" s="1" t="s">
        <v>64</v>
      </c>
      <c r="E41" s="23">
        <f>E39/E40</f>
        <v>45.432692307692307</v>
      </c>
    </row>
    <row r="44" spans="4:5" ht="18" x14ac:dyDescent="0.35">
      <c r="D44" s="17" t="s">
        <v>23</v>
      </c>
      <c r="E44" s="16" t="s">
        <v>66</v>
      </c>
    </row>
    <row r="45" spans="4:5" x14ac:dyDescent="0.25">
      <c r="D45" t="s">
        <v>8</v>
      </c>
      <c r="E45" s="3">
        <v>28</v>
      </c>
    </row>
    <row r="46" spans="4:5" x14ac:dyDescent="0.25">
      <c r="D46" t="s">
        <v>9</v>
      </c>
      <c r="E46" s="3">
        <v>12</v>
      </c>
    </row>
    <row r="47" spans="4:5" x14ac:dyDescent="0.25">
      <c r="D47" t="s">
        <v>10</v>
      </c>
      <c r="E47" s="3">
        <v>135</v>
      </c>
    </row>
    <row r="50" spans="4:12" x14ac:dyDescent="0.25">
      <c r="D50" s="2" t="s">
        <v>23</v>
      </c>
    </row>
    <row r="51" spans="4:12" x14ac:dyDescent="0.25">
      <c r="D51" s="2"/>
      <c r="E51" s="2"/>
      <c r="F51" s="2"/>
      <c r="G51" s="2"/>
      <c r="H51" s="2"/>
      <c r="I51" s="2"/>
      <c r="J51" s="35" t="s">
        <v>35</v>
      </c>
      <c r="K51" s="35"/>
    </row>
    <row r="52" spans="4:12" x14ac:dyDescent="0.25">
      <c r="D52" s="11" t="s">
        <v>21</v>
      </c>
      <c r="E52" s="11" t="s">
        <v>18</v>
      </c>
      <c r="F52" s="11" t="s">
        <v>19</v>
      </c>
      <c r="G52" s="11" t="s">
        <v>4</v>
      </c>
      <c r="H52" s="12" t="s">
        <v>26</v>
      </c>
      <c r="I52" s="12" t="s">
        <v>46</v>
      </c>
      <c r="J52" s="12" t="s">
        <v>36</v>
      </c>
      <c r="K52" s="11" t="s">
        <v>37</v>
      </c>
      <c r="L52" s="24" t="s">
        <v>65</v>
      </c>
    </row>
    <row r="53" spans="4:12" x14ac:dyDescent="0.25">
      <c r="D53" t="s">
        <v>0</v>
      </c>
      <c r="E53" t="s">
        <v>6</v>
      </c>
      <c r="F53" t="s">
        <v>25</v>
      </c>
      <c r="G53" s="3">
        <v>20</v>
      </c>
      <c r="H53" s="3" t="s">
        <v>27</v>
      </c>
      <c r="I53" s="7">
        <f>E34</f>
        <v>157.03125</v>
      </c>
      <c r="J53" s="3">
        <v>135</v>
      </c>
      <c r="K53" s="4">
        <f>G53*J53/1000</f>
        <v>2.7</v>
      </c>
      <c r="L53" s="7">
        <f>I53*K53</f>
        <v>423.984375</v>
      </c>
    </row>
    <row r="54" spans="4:12" x14ac:dyDescent="0.25">
      <c r="D54" t="s">
        <v>28</v>
      </c>
      <c r="E54" t="s">
        <v>29</v>
      </c>
      <c r="F54" t="s">
        <v>25</v>
      </c>
      <c r="G54" s="3">
        <v>91.3</v>
      </c>
      <c r="H54" s="3" t="s">
        <v>27</v>
      </c>
      <c r="I54" s="23">
        <f>E41</f>
        <v>45.432692307692307</v>
      </c>
      <c r="J54" s="3">
        <v>135</v>
      </c>
      <c r="K54" s="4">
        <f t="shared" ref="K54:K59" si="2">G54*J54/1000</f>
        <v>12.3255</v>
      </c>
      <c r="L54" s="7">
        <f t="shared" ref="L54:L59" si="3">I54*K54</f>
        <v>559.98064903846148</v>
      </c>
    </row>
    <row r="55" spans="4:12" x14ac:dyDescent="0.25">
      <c r="D55" t="s">
        <v>1</v>
      </c>
      <c r="E55" t="s">
        <v>5</v>
      </c>
      <c r="F55" t="s">
        <v>30</v>
      </c>
      <c r="G55" s="3">
        <v>64</v>
      </c>
      <c r="H55" s="3" t="s">
        <v>24</v>
      </c>
      <c r="I55" s="3">
        <f>$F$18</f>
        <v>3.78</v>
      </c>
      <c r="J55" s="3">
        <v>28</v>
      </c>
      <c r="K55" s="4">
        <f t="shared" si="2"/>
        <v>1.792</v>
      </c>
      <c r="L55" s="7">
        <f t="shared" si="3"/>
        <v>6.7737600000000002</v>
      </c>
    </row>
    <row r="56" spans="4:12" x14ac:dyDescent="0.25">
      <c r="D56" t="s">
        <v>1</v>
      </c>
      <c r="E56" t="s">
        <v>30</v>
      </c>
      <c r="F56" t="s">
        <v>31</v>
      </c>
      <c r="G56" s="7">
        <f>2768*1.852</f>
        <v>5126.3360000000002</v>
      </c>
      <c r="H56" s="3" t="s">
        <v>32</v>
      </c>
      <c r="I56" s="3">
        <f t="shared" ref="I56:I57" si="4">$F$18</f>
        <v>3.78</v>
      </c>
      <c r="J56" s="3">
        <v>12</v>
      </c>
      <c r="K56" s="4">
        <f t="shared" si="2"/>
        <v>61.51603200000001</v>
      </c>
      <c r="L56" s="7">
        <f t="shared" si="3"/>
        <v>232.53060096000002</v>
      </c>
    </row>
    <row r="57" spans="4:12" x14ac:dyDescent="0.25">
      <c r="D57" t="s">
        <v>1</v>
      </c>
      <c r="E57" t="s">
        <v>31</v>
      </c>
      <c r="F57" t="s">
        <v>25</v>
      </c>
      <c r="G57" s="3">
        <v>143</v>
      </c>
      <c r="H57" s="3" t="s">
        <v>27</v>
      </c>
      <c r="I57" s="3">
        <f t="shared" si="4"/>
        <v>3.78</v>
      </c>
      <c r="J57" s="3">
        <v>135</v>
      </c>
      <c r="K57" s="4">
        <f t="shared" si="2"/>
        <v>19.305</v>
      </c>
      <c r="L57" s="7">
        <f t="shared" si="3"/>
        <v>72.972899999999996</v>
      </c>
    </row>
    <row r="58" spans="4:12" x14ac:dyDescent="0.25">
      <c r="D58" t="s">
        <v>11</v>
      </c>
      <c r="E58" t="s">
        <v>25</v>
      </c>
      <c r="F58" t="s">
        <v>33</v>
      </c>
      <c r="G58" s="3">
        <v>73.400000000000006</v>
      </c>
      <c r="H58" s="3" t="s">
        <v>27</v>
      </c>
      <c r="I58" s="3">
        <f>F7</f>
        <v>126</v>
      </c>
      <c r="J58" s="3">
        <v>135</v>
      </c>
      <c r="K58" s="4">
        <f t="shared" si="2"/>
        <v>9.9090000000000007</v>
      </c>
      <c r="L58" s="7">
        <f t="shared" si="3"/>
        <v>1248.5340000000001</v>
      </c>
    </row>
    <row r="59" spans="4:12" x14ac:dyDescent="0.25">
      <c r="D59" s="13" t="s">
        <v>17</v>
      </c>
      <c r="E59" s="13" t="s">
        <v>34</v>
      </c>
      <c r="F59" s="13" t="s">
        <v>33</v>
      </c>
      <c r="G59" s="14">
        <v>8.1</v>
      </c>
      <c r="H59" s="14" t="s">
        <v>27</v>
      </c>
      <c r="I59" s="14">
        <f>F9+F8</f>
        <v>790</v>
      </c>
      <c r="J59" s="14">
        <v>135</v>
      </c>
      <c r="K59" s="15">
        <f t="shared" si="2"/>
        <v>1.0934999999999999</v>
      </c>
      <c r="L59" s="25">
        <f t="shared" si="3"/>
        <v>863.8649999999999</v>
      </c>
    </row>
    <row r="60" spans="4:12" x14ac:dyDescent="0.25">
      <c r="K60" s="10" t="s">
        <v>14</v>
      </c>
      <c r="L60" s="9">
        <f>SUM(L53:L59)</f>
        <v>3408.6412849984617</v>
      </c>
    </row>
    <row r="65" spans="4:9" ht="18" x14ac:dyDescent="0.35">
      <c r="D65" s="17" t="s">
        <v>21</v>
      </c>
      <c r="E65" s="16" t="s">
        <v>40</v>
      </c>
      <c r="F65" s="16" t="s">
        <v>67</v>
      </c>
      <c r="G65" s="16" t="s">
        <v>68</v>
      </c>
    </row>
    <row r="66" spans="4:9" x14ac:dyDescent="0.25">
      <c r="D66" t="s">
        <v>0</v>
      </c>
      <c r="E66" s="3">
        <v>157</v>
      </c>
      <c r="F66" s="3">
        <v>2.7360000000000002</v>
      </c>
      <c r="G66" s="7">
        <f>E66*F66</f>
        <v>429.55200000000002</v>
      </c>
    </row>
    <row r="67" spans="4:9" x14ac:dyDescent="0.25">
      <c r="D67" t="s">
        <v>28</v>
      </c>
      <c r="E67" s="3">
        <v>45.4</v>
      </c>
      <c r="F67" s="3">
        <v>2.7360000000000002</v>
      </c>
      <c r="G67" s="7">
        <f t="shared" ref="G67:G69" si="5">E67*F67</f>
        <v>124.21440000000001</v>
      </c>
    </row>
    <row r="68" spans="4:9" x14ac:dyDescent="0.25">
      <c r="D68" t="s">
        <v>1</v>
      </c>
      <c r="E68" s="3">
        <v>3.78</v>
      </c>
      <c r="F68" s="3">
        <v>5.4960000000000004</v>
      </c>
      <c r="G68" s="7">
        <f t="shared" si="5"/>
        <v>20.77488</v>
      </c>
    </row>
    <row r="69" spans="4:9" x14ac:dyDescent="0.25">
      <c r="D69" s="26" t="s">
        <v>17</v>
      </c>
      <c r="E69" s="3">
        <v>790</v>
      </c>
      <c r="F69" s="3">
        <v>2.7360000000000002</v>
      </c>
      <c r="G69" s="7">
        <f t="shared" si="5"/>
        <v>2161.44</v>
      </c>
    </row>
    <row r="70" spans="4:9" x14ac:dyDescent="0.25">
      <c r="D70" s="27" t="s">
        <v>13</v>
      </c>
      <c r="E70" s="14">
        <f>F11</f>
        <v>86.7</v>
      </c>
      <c r="F70" s="14">
        <v>0.42</v>
      </c>
      <c r="G70" s="25">
        <f>E70*F70</f>
        <v>36.414000000000001</v>
      </c>
    </row>
    <row r="71" spans="4:9" x14ac:dyDescent="0.25">
      <c r="F71" s="10" t="s">
        <v>14</v>
      </c>
      <c r="G71" s="9">
        <f>SUM(G66:G70)</f>
        <v>2772.3952800000002</v>
      </c>
    </row>
    <row r="72" spans="4:9" x14ac:dyDescent="0.25">
      <c r="F72" s="10"/>
      <c r="G72" s="9"/>
    </row>
    <row r="74" spans="4:9" x14ac:dyDescent="0.25">
      <c r="D74" t="s">
        <v>75</v>
      </c>
      <c r="F74" s="18">
        <v>3.1E-2</v>
      </c>
    </row>
    <row r="76" spans="4:9" x14ac:dyDescent="0.25">
      <c r="D76" s="29" t="s">
        <v>69</v>
      </c>
      <c r="E76" s="16" t="s">
        <v>40</v>
      </c>
      <c r="F76" s="16" t="s">
        <v>70</v>
      </c>
      <c r="G76" s="17" t="s">
        <v>71</v>
      </c>
      <c r="H76" s="16" t="s">
        <v>73</v>
      </c>
      <c r="I76" s="17" t="s">
        <v>74</v>
      </c>
    </row>
    <row r="77" spans="4:9" x14ac:dyDescent="0.25">
      <c r="D77" s="1" t="s">
        <v>7</v>
      </c>
      <c r="E77" s="3">
        <f>E66+E67</f>
        <v>202.4</v>
      </c>
      <c r="F77" s="3">
        <v>25</v>
      </c>
      <c r="G77" s="3">
        <f>E77*F77</f>
        <v>5060</v>
      </c>
      <c r="H77" s="3">
        <f>G77*3.6</f>
        <v>18216</v>
      </c>
      <c r="I77" s="7">
        <f>H77*$F$74</f>
        <v>564.69600000000003</v>
      </c>
    </row>
    <row r="78" spans="4:9" x14ac:dyDescent="0.25">
      <c r="D78" s="20" t="s">
        <v>72</v>
      </c>
      <c r="E78" s="14">
        <f>F19</f>
        <v>126</v>
      </c>
      <c r="F78" s="14">
        <v>35</v>
      </c>
      <c r="G78" s="14">
        <f>E78*F78</f>
        <v>4410</v>
      </c>
      <c r="H78" s="14">
        <f>G78*3.6</f>
        <v>15876</v>
      </c>
      <c r="I78" s="25">
        <f>H78*$F$74</f>
        <v>492.15600000000001</v>
      </c>
    </row>
    <row r="79" spans="4:9" x14ac:dyDescent="0.25">
      <c r="H79" s="10" t="s">
        <v>14</v>
      </c>
      <c r="I79" s="9">
        <f>SUM(I77:I78)</f>
        <v>1056.8520000000001</v>
      </c>
    </row>
    <row r="81" spans="4:10" ht="45" x14ac:dyDescent="0.25">
      <c r="D81" s="29" t="s">
        <v>21</v>
      </c>
      <c r="E81" s="12" t="s">
        <v>77</v>
      </c>
      <c r="F81" s="12" t="s">
        <v>81</v>
      </c>
      <c r="G81" s="12" t="s">
        <v>82</v>
      </c>
      <c r="H81" s="12" t="s">
        <v>83</v>
      </c>
    </row>
    <row r="82" spans="4:10" x14ac:dyDescent="0.25">
      <c r="D82" s="1" t="s">
        <v>0</v>
      </c>
      <c r="E82" s="3">
        <v>0.02</v>
      </c>
      <c r="F82" s="3">
        <v>0.90900000000000003</v>
      </c>
    </row>
    <row r="83" spans="4:10" x14ac:dyDescent="0.25">
      <c r="D83" s="1" t="s">
        <v>28</v>
      </c>
      <c r="E83" s="3">
        <f>1-E40</f>
        <v>0.16800000000000004</v>
      </c>
      <c r="F83" s="3">
        <v>0.878</v>
      </c>
    </row>
    <row r="84" spans="4:10" x14ac:dyDescent="0.25">
      <c r="D84" s="1" t="s">
        <v>13</v>
      </c>
      <c r="F84" s="3">
        <v>4.1820000000000004</v>
      </c>
      <c r="G84" s="3">
        <v>2257</v>
      </c>
      <c r="H84" s="3">
        <v>100</v>
      </c>
    </row>
    <row r="85" spans="4:10" x14ac:dyDescent="0.25">
      <c r="D85" s="1"/>
      <c r="F85" s="3"/>
      <c r="G85" s="3"/>
      <c r="H85" s="3"/>
    </row>
    <row r="86" spans="4:10" x14ac:dyDescent="0.25">
      <c r="D86" s="1" t="s">
        <v>84</v>
      </c>
      <c r="E86" s="3">
        <v>25</v>
      </c>
      <c r="H86" s="1" t="s">
        <v>113</v>
      </c>
      <c r="I86" s="3">
        <v>54</v>
      </c>
    </row>
    <row r="87" spans="4:10" ht="18" x14ac:dyDescent="0.35">
      <c r="D87" s="1" t="s">
        <v>85</v>
      </c>
      <c r="E87" s="3">
        <v>800</v>
      </c>
      <c r="H87" s="1" t="s">
        <v>114</v>
      </c>
      <c r="I87" s="3">
        <v>2.76</v>
      </c>
    </row>
    <row r="88" spans="4:10" x14ac:dyDescent="0.25">
      <c r="D88" s="1" t="s">
        <v>86</v>
      </c>
      <c r="E88" s="3">
        <v>0.8</v>
      </c>
    </row>
    <row r="89" spans="4:10" x14ac:dyDescent="0.25">
      <c r="D89" s="1"/>
      <c r="E89" s="3"/>
    </row>
    <row r="90" spans="4:10" ht="30" x14ac:dyDescent="0.25">
      <c r="D90" s="29" t="s">
        <v>76</v>
      </c>
      <c r="E90" s="12" t="s">
        <v>78</v>
      </c>
      <c r="F90" s="12" t="s">
        <v>79</v>
      </c>
      <c r="G90" s="12" t="s">
        <v>80</v>
      </c>
      <c r="H90" s="12" t="s">
        <v>87</v>
      </c>
      <c r="I90" s="12" t="s">
        <v>88</v>
      </c>
      <c r="J90" s="12" t="s">
        <v>89</v>
      </c>
    </row>
    <row r="91" spans="4:10" x14ac:dyDescent="0.25">
      <c r="D91" s="1" t="s">
        <v>0</v>
      </c>
      <c r="E91" s="3">
        <f>E66</f>
        <v>157</v>
      </c>
      <c r="F91" s="3">
        <f>E91-G91</f>
        <v>153.86000000000001</v>
      </c>
      <c r="G91" s="3">
        <f>E91*E82</f>
        <v>3.14</v>
      </c>
      <c r="H91" s="7">
        <f>(G91*1000*(($F$84*($H$84-$E$86))+($G$84)))/1000</f>
        <v>8071.8410000000003</v>
      </c>
      <c r="I91" s="7">
        <f>(($E$87-$E$86)*F82*F91*1000)/1000</f>
        <v>108390.52350000001</v>
      </c>
      <c r="J91" s="7">
        <f>H91+I91</f>
        <v>116462.36450000001</v>
      </c>
    </row>
    <row r="92" spans="4:10" x14ac:dyDescent="0.25">
      <c r="D92" s="20" t="s">
        <v>28</v>
      </c>
      <c r="E92" s="14">
        <f>E67</f>
        <v>45.4</v>
      </c>
      <c r="F92" s="14">
        <f>E92-G92</f>
        <v>37.772799999999997</v>
      </c>
      <c r="G92" s="14">
        <f>E92*E83</f>
        <v>7.6272000000000011</v>
      </c>
      <c r="H92" s="25">
        <f>(G92*1000*(($F$84*($H$84-$E$86))+($G$84)))/1000</f>
        <v>19606.861680000002</v>
      </c>
      <c r="I92" s="25">
        <f>(($E$87-$E$86)*F83*F92*1000)/1000</f>
        <v>25702.501759999999</v>
      </c>
      <c r="J92" s="25">
        <f>H92+I92</f>
        <v>45309.363440000001</v>
      </c>
    </row>
    <row r="93" spans="4:10" x14ac:dyDescent="0.25">
      <c r="D93" s="1"/>
      <c r="I93" s="28" t="s">
        <v>89</v>
      </c>
      <c r="J93" s="7">
        <f>SUM(J91:J92)</f>
        <v>161771.72794000001</v>
      </c>
    </row>
    <row r="94" spans="4:10" x14ac:dyDescent="0.25">
      <c r="I94" s="28" t="s">
        <v>90</v>
      </c>
      <c r="J94" s="7">
        <f>J93/E88</f>
        <v>202214.65992500001</v>
      </c>
    </row>
    <row r="95" spans="4:10" x14ac:dyDescent="0.25">
      <c r="I95" s="28" t="s">
        <v>115</v>
      </c>
      <c r="J95" s="7">
        <f>(J94/I86)</f>
        <v>3744.7159245370372</v>
      </c>
    </row>
    <row r="96" spans="4:10" ht="18" x14ac:dyDescent="0.35">
      <c r="I96" s="28" t="s">
        <v>95</v>
      </c>
      <c r="J96" s="7">
        <f>J95*I87</f>
        <v>10335.415951722222</v>
      </c>
    </row>
    <row r="98" spans="4:8" x14ac:dyDescent="0.25">
      <c r="E98" s="36" t="s">
        <v>15</v>
      </c>
      <c r="F98" s="36"/>
      <c r="G98" s="36"/>
    </row>
    <row r="99" spans="4:8" x14ac:dyDescent="0.25">
      <c r="E99" s="16" t="s">
        <v>104</v>
      </c>
      <c r="F99" s="16" t="s">
        <v>97</v>
      </c>
      <c r="G99" s="16" t="s">
        <v>98</v>
      </c>
    </row>
    <row r="100" spans="4:8" x14ac:dyDescent="0.25">
      <c r="E100" s="23">
        <f>F91</f>
        <v>153.86000000000001</v>
      </c>
      <c r="F100" s="23">
        <f>E100*E26</f>
        <v>86.161600000000021</v>
      </c>
      <c r="G100" s="23">
        <f>E100*E27</f>
        <v>67.698400000000007</v>
      </c>
    </row>
    <row r="104" spans="4:8" x14ac:dyDescent="0.25">
      <c r="E104" s="1" t="s">
        <v>113</v>
      </c>
      <c r="F104" s="3">
        <v>54</v>
      </c>
    </row>
    <row r="105" spans="4:8" ht="18" x14ac:dyDescent="0.35">
      <c r="E105" s="1" t="s">
        <v>114</v>
      </c>
      <c r="F105" s="3">
        <v>2.76</v>
      </c>
    </row>
    <row r="107" spans="4:8" x14ac:dyDescent="0.25">
      <c r="D107" s="10" t="s">
        <v>99</v>
      </c>
    </row>
    <row r="108" spans="4:8" ht="30" x14ac:dyDescent="0.25">
      <c r="D108" s="12" t="s">
        <v>100</v>
      </c>
      <c r="E108" s="12" t="s">
        <v>101</v>
      </c>
      <c r="F108" s="12" t="s">
        <v>102</v>
      </c>
      <c r="G108" s="12" t="s">
        <v>116</v>
      </c>
      <c r="H108" s="12" t="s">
        <v>103</v>
      </c>
    </row>
    <row r="109" spans="4:8" x14ac:dyDescent="0.25">
      <c r="D109" s="23">
        <f>F91+F92</f>
        <v>191.6328</v>
      </c>
      <c r="E109" s="3">
        <v>4.5</v>
      </c>
      <c r="F109" s="7">
        <f>D109*1000*E109</f>
        <v>862347.60000000009</v>
      </c>
      <c r="G109" s="7">
        <f>F109/F104/1000</f>
        <v>15.969400000000002</v>
      </c>
      <c r="H109" s="23">
        <f>G109*F105</f>
        <v>44.075544000000001</v>
      </c>
    </row>
    <row r="113" spans="4:7" ht="34.5" x14ac:dyDescent="0.35">
      <c r="D113" s="29" t="s">
        <v>20</v>
      </c>
      <c r="E113" s="12" t="s">
        <v>95</v>
      </c>
      <c r="F113" s="12" t="s">
        <v>109</v>
      </c>
      <c r="G113" s="16" t="s">
        <v>110</v>
      </c>
    </row>
    <row r="114" spans="4:7" x14ac:dyDescent="0.25">
      <c r="D114" s="30" t="s">
        <v>105</v>
      </c>
      <c r="E114" s="7">
        <f>G71</f>
        <v>2772.3952800000002</v>
      </c>
      <c r="F114" s="23">
        <f>E114/$E$4</f>
        <v>2.77239528</v>
      </c>
      <c r="G114" s="23">
        <f>(F114/$F$120)*100</f>
        <v>2.143373988849568</v>
      </c>
    </row>
    <row r="115" spans="4:7" x14ac:dyDescent="0.25">
      <c r="D115" s="1" t="s">
        <v>106</v>
      </c>
      <c r="E115" s="7">
        <f>L60</f>
        <v>3408.6412849984617</v>
      </c>
      <c r="F115" s="23">
        <f t="shared" ref="F115:F120" si="6">E115/$E$4</f>
        <v>3.4086412849984615</v>
      </c>
      <c r="G115" s="23">
        <f t="shared" ref="G115:G119" si="7">(F115/$F$120)*100</f>
        <v>2.6352638529901369</v>
      </c>
    </row>
    <row r="116" spans="4:7" x14ac:dyDescent="0.25">
      <c r="D116" s="1" t="s">
        <v>107</v>
      </c>
      <c r="E116" s="7">
        <f>I77</f>
        <v>564.69600000000003</v>
      </c>
      <c r="F116" s="23">
        <f t="shared" si="6"/>
        <v>0.56469599999999998</v>
      </c>
      <c r="G116" s="23">
        <f t="shared" si="7"/>
        <v>0.4365736468889802</v>
      </c>
    </row>
    <row r="117" spans="4:7" x14ac:dyDescent="0.25">
      <c r="D117" s="1" t="s">
        <v>76</v>
      </c>
      <c r="E117" s="7">
        <f>J96</f>
        <v>10335.415951722222</v>
      </c>
      <c r="F117" s="23">
        <f t="shared" si="6"/>
        <v>10.335415951722222</v>
      </c>
      <c r="G117" s="23">
        <f t="shared" si="7"/>
        <v>7.9904412890438596</v>
      </c>
    </row>
    <row r="118" spans="4:7" x14ac:dyDescent="0.25">
      <c r="D118" s="1" t="s">
        <v>96</v>
      </c>
      <c r="E118" s="7">
        <f>(G100+H109)*1000</f>
        <v>111773.944</v>
      </c>
      <c r="F118" s="23">
        <f t="shared" si="6"/>
        <v>111.773944</v>
      </c>
      <c r="G118" s="23">
        <f t="shared" si="7"/>
        <v>86.413855170294568</v>
      </c>
    </row>
    <row r="119" spans="4:7" x14ac:dyDescent="0.25">
      <c r="D119" s="1" t="s">
        <v>108</v>
      </c>
      <c r="E119" s="7">
        <f>I78</f>
        <v>492.15600000000001</v>
      </c>
      <c r="F119" s="23">
        <f t="shared" si="6"/>
        <v>0.49215599999999998</v>
      </c>
      <c r="G119" s="23">
        <f t="shared" si="7"/>
        <v>0.38049205193288599</v>
      </c>
    </row>
    <row r="120" spans="4:7" x14ac:dyDescent="0.25">
      <c r="D120" s="1" t="s">
        <v>14</v>
      </c>
      <c r="E120" s="7">
        <f>SUM(E114:E119)</f>
        <v>129347.24851672069</v>
      </c>
      <c r="F120" s="23">
        <f t="shared" si="6"/>
        <v>129.3472485167207</v>
      </c>
    </row>
    <row r="123" spans="4:7" x14ac:dyDescent="0.25">
      <c r="D123" s="1" t="s">
        <v>127</v>
      </c>
      <c r="E123" s="7">
        <f>J94+F109</f>
        <v>1064562.2599250001</v>
      </c>
    </row>
    <row r="124" spans="4:7" x14ac:dyDescent="0.25">
      <c r="D124" s="1" t="s">
        <v>128</v>
      </c>
      <c r="E124" s="7">
        <f>E123/3.6</f>
        <v>295711.73886805557</v>
      </c>
    </row>
    <row r="125" spans="4:7" x14ac:dyDescent="0.25">
      <c r="D125" s="1" t="s">
        <v>129</v>
      </c>
      <c r="E125" s="6">
        <v>3.0499999999999999E-2</v>
      </c>
    </row>
    <row r="126" spans="4:7" x14ac:dyDescent="0.25">
      <c r="D126" s="1" t="s">
        <v>119</v>
      </c>
      <c r="E126" s="7">
        <f>E123*E125</f>
        <v>32469.148927712504</v>
      </c>
    </row>
    <row r="127" spans="4:7" x14ac:dyDescent="0.25">
      <c r="D127" s="1" t="s">
        <v>121</v>
      </c>
      <c r="E127" s="3">
        <v>75</v>
      </c>
    </row>
    <row r="128" spans="4:7" x14ac:dyDescent="0.25">
      <c r="D128" s="1" t="s">
        <v>122</v>
      </c>
      <c r="E128" s="3">
        <v>2</v>
      </c>
    </row>
    <row r="129" spans="4:5" x14ac:dyDescent="0.25">
      <c r="D129" s="1" t="s">
        <v>123</v>
      </c>
      <c r="E129" s="23">
        <f>(E120/1000)/E128</f>
        <v>64.673624258360348</v>
      </c>
    </row>
    <row r="130" spans="4:5" x14ac:dyDescent="0.25">
      <c r="D130" s="1" t="s">
        <v>124</v>
      </c>
      <c r="E130" s="7">
        <f>E127*E129</f>
        <v>4850.5218193770261</v>
      </c>
    </row>
    <row r="132" spans="4:5" x14ac:dyDescent="0.25">
      <c r="D132" s="1" t="s">
        <v>125</v>
      </c>
      <c r="E132" s="7">
        <f>E126+E130</f>
        <v>37319.670747089527</v>
      </c>
    </row>
    <row r="133" spans="4:5" x14ac:dyDescent="0.25">
      <c r="D133" s="1" t="s">
        <v>126</v>
      </c>
      <c r="E133" s="7">
        <f>E132/1000</f>
        <v>37.319670747089525</v>
      </c>
    </row>
  </sheetData>
  <mergeCells count="2">
    <mergeCell ref="J51:K51"/>
    <mergeCell ref="E98:G9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27120-2D04-4197-8FFD-984F980C2DB7}">
  <dimension ref="C2:L134"/>
  <sheetViews>
    <sheetView topLeftCell="A13" workbookViewId="0">
      <selection activeCell="J5" sqref="J5:L12"/>
    </sheetView>
  </sheetViews>
  <sheetFormatPr defaultRowHeight="15" x14ac:dyDescent="0.25"/>
  <cols>
    <col min="4" max="4" width="23.28515625" customWidth="1"/>
    <col min="5" max="5" width="27.28515625" customWidth="1"/>
    <col min="6" max="6" width="22.140625" customWidth="1"/>
    <col min="7" max="7" width="13.85546875" customWidth="1"/>
    <col min="8" max="9" width="17.42578125" customWidth="1"/>
    <col min="10" max="10" width="18.42578125" customWidth="1"/>
    <col min="11" max="11" width="14.7109375" customWidth="1"/>
  </cols>
  <sheetData>
    <row r="2" spans="4:7" x14ac:dyDescent="0.25">
      <c r="D2" s="2" t="s">
        <v>111</v>
      </c>
    </row>
    <row r="4" spans="4:7" x14ac:dyDescent="0.25">
      <c r="D4" s="10" t="s">
        <v>39</v>
      </c>
      <c r="E4" s="10">
        <v>1000</v>
      </c>
    </row>
    <row r="6" spans="4:7" x14ac:dyDescent="0.25">
      <c r="D6" s="10" t="s">
        <v>22</v>
      </c>
      <c r="E6" s="10" t="s">
        <v>38</v>
      </c>
      <c r="F6" s="10" t="s">
        <v>40</v>
      </c>
      <c r="G6" s="31"/>
    </row>
    <row r="7" spans="4:7" x14ac:dyDescent="0.25">
      <c r="D7" s="3" t="s">
        <v>11</v>
      </c>
      <c r="E7" s="3">
        <v>126</v>
      </c>
      <c r="F7" s="3">
        <f>E7*$E$4/1000</f>
        <v>126</v>
      </c>
      <c r="G7" s="3"/>
    </row>
    <row r="8" spans="4:7" x14ac:dyDescent="0.25">
      <c r="D8" s="3" t="s">
        <v>12</v>
      </c>
      <c r="E8" s="3">
        <v>321</v>
      </c>
      <c r="F8" s="3">
        <f t="shared" ref="F8:F11" si="0">E8*$E$4/1000</f>
        <v>321</v>
      </c>
      <c r="G8" s="3"/>
    </row>
    <row r="9" spans="4:7" x14ac:dyDescent="0.25">
      <c r="D9" s="3" t="s">
        <v>3</v>
      </c>
      <c r="E9" s="3">
        <v>469</v>
      </c>
      <c r="F9" s="3">
        <f t="shared" si="0"/>
        <v>469</v>
      </c>
      <c r="G9" s="3"/>
    </row>
    <row r="10" spans="4:7" x14ac:dyDescent="0.25">
      <c r="D10" s="3" t="s">
        <v>2</v>
      </c>
      <c r="E10" s="3">
        <v>0.65</v>
      </c>
      <c r="F10" s="3">
        <f t="shared" si="0"/>
        <v>0.65</v>
      </c>
      <c r="G10" s="3"/>
    </row>
    <row r="11" spans="4:7" x14ac:dyDescent="0.25">
      <c r="D11" s="3" t="s">
        <v>13</v>
      </c>
      <c r="E11" s="3">
        <v>86.7</v>
      </c>
      <c r="F11" s="3">
        <f t="shared" si="0"/>
        <v>86.7</v>
      </c>
      <c r="G11" s="3"/>
    </row>
    <row r="13" spans="4:7" x14ac:dyDescent="0.25">
      <c r="D13" s="3" t="s">
        <v>60</v>
      </c>
      <c r="E13" s="3">
        <f>F7</f>
        <v>126</v>
      </c>
    </row>
    <row r="15" spans="4:7" x14ac:dyDescent="0.25">
      <c r="D15" s="16" t="s">
        <v>21</v>
      </c>
      <c r="E15" s="16" t="s">
        <v>41</v>
      </c>
      <c r="F15" s="16" t="s">
        <v>54</v>
      </c>
    </row>
    <row r="16" spans="4:7" x14ac:dyDescent="0.25">
      <c r="D16" s="3" t="s">
        <v>16</v>
      </c>
      <c r="E16" s="3">
        <v>670</v>
      </c>
      <c r="F16" s="3">
        <f>E16*$F$7/1000</f>
        <v>84.42</v>
      </c>
    </row>
    <row r="17" spans="3:7" x14ac:dyDescent="0.25">
      <c r="D17" s="3" t="s">
        <v>28</v>
      </c>
      <c r="E17" s="3">
        <v>300</v>
      </c>
      <c r="F17" s="3">
        <f t="shared" ref="F17:F18" si="1">E17*$F$7/1000</f>
        <v>37.799999999999997</v>
      </c>
    </row>
    <row r="18" spans="3:7" x14ac:dyDescent="0.25">
      <c r="D18" s="3" t="s">
        <v>1</v>
      </c>
      <c r="E18" s="3">
        <f>0.03*1000</f>
        <v>30</v>
      </c>
      <c r="F18" s="3">
        <f t="shared" si="1"/>
        <v>3.78</v>
      </c>
    </row>
    <row r="19" spans="3:7" x14ac:dyDescent="0.25">
      <c r="E19" s="1" t="s">
        <v>14</v>
      </c>
      <c r="F19" s="3">
        <f>SUM(F16:F18)</f>
        <v>126</v>
      </c>
    </row>
    <row r="21" spans="3:7" ht="18" x14ac:dyDescent="0.35">
      <c r="D21" s="3" t="s">
        <v>42</v>
      </c>
      <c r="E21" s="8" t="s">
        <v>43</v>
      </c>
    </row>
    <row r="22" spans="3:7" ht="18" x14ac:dyDescent="0.35">
      <c r="E22" t="s">
        <v>44</v>
      </c>
    </row>
    <row r="24" spans="3:7" x14ac:dyDescent="0.25">
      <c r="C24" s="17"/>
      <c r="D24" s="16" t="s">
        <v>21</v>
      </c>
      <c r="E24" s="16" t="s">
        <v>47</v>
      </c>
      <c r="F24" s="16" t="s">
        <v>48</v>
      </c>
      <c r="G24" s="16" t="s">
        <v>49</v>
      </c>
    </row>
    <row r="25" spans="3:7" x14ac:dyDescent="0.25">
      <c r="C25" t="s">
        <v>50</v>
      </c>
      <c r="D25" s="3" t="s">
        <v>45</v>
      </c>
      <c r="E25" s="3">
        <v>1</v>
      </c>
      <c r="F25" s="3">
        <v>100</v>
      </c>
      <c r="G25" s="3">
        <f>E25*1000/F25</f>
        <v>10</v>
      </c>
    </row>
    <row r="26" spans="3:7" x14ac:dyDescent="0.25">
      <c r="C26" t="s">
        <v>51</v>
      </c>
      <c r="D26" s="3" t="s">
        <v>52</v>
      </c>
      <c r="E26" s="3">
        <f>G26*F26/1000</f>
        <v>0.56000000000000005</v>
      </c>
      <c r="F26" s="3">
        <v>56</v>
      </c>
      <c r="G26" s="3">
        <v>10</v>
      </c>
    </row>
    <row r="27" spans="3:7" x14ac:dyDescent="0.25">
      <c r="C27" s="13" t="s">
        <v>51</v>
      </c>
      <c r="D27" s="14" t="s">
        <v>53</v>
      </c>
      <c r="E27" s="14">
        <f>G27*F27/1000</f>
        <v>0.44</v>
      </c>
      <c r="F27" s="14">
        <v>44</v>
      </c>
      <c r="G27" s="14">
        <v>10</v>
      </c>
    </row>
    <row r="29" spans="3:7" x14ac:dyDescent="0.25">
      <c r="D29" s="19" t="s">
        <v>55</v>
      </c>
    </row>
    <row r="31" spans="3:7" x14ac:dyDescent="0.25">
      <c r="D31" s="1" t="s">
        <v>56</v>
      </c>
      <c r="E31" s="3">
        <f>F16</f>
        <v>84.42</v>
      </c>
    </row>
    <row r="32" spans="3:7" x14ac:dyDescent="0.25">
      <c r="D32" s="1" t="s">
        <v>57</v>
      </c>
      <c r="E32" s="3">
        <v>0.56000000000000005</v>
      </c>
    </row>
    <row r="33" spans="4:5" x14ac:dyDescent="0.25">
      <c r="D33" s="20" t="s">
        <v>58</v>
      </c>
      <c r="E33" s="14">
        <v>0.96</v>
      </c>
    </row>
    <row r="34" spans="4:5" x14ac:dyDescent="0.25">
      <c r="D34" s="21" t="s">
        <v>59</v>
      </c>
      <c r="E34" s="7">
        <f>E31/E32/E33</f>
        <v>157.03125</v>
      </c>
    </row>
    <row r="37" spans="4:5" x14ac:dyDescent="0.25">
      <c r="D37" s="22" t="s">
        <v>61</v>
      </c>
    </row>
    <row r="39" spans="4:5" x14ac:dyDescent="0.25">
      <c r="D39" s="1" t="s">
        <v>62</v>
      </c>
      <c r="E39" s="3">
        <f>F17</f>
        <v>37.799999999999997</v>
      </c>
    </row>
    <row r="40" spans="4:5" x14ac:dyDescent="0.25">
      <c r="D40" s="20" t="s">
        <v>63</v>
      </c>
      <c r="E40" s="14">
        <f>1-0.168</f>
        <v>0.83199999999999996</v>
      </c>
    </row>
    <row r="41" spans="4:5" x14ac:dyDescent="0.25">
      <c r="D41" s="1" t="s">
        <v>64</v>
      </c>
      <c r="E41" s="23">
        <f>E39/E40</f>
        <v>45.432692307692307</v>
      </c>
    </row>
    <row r="44" spans="4:5" ht="18" x14ac:dyDescent="0.35">
      <c r="D44" s="17" t="s">
        <v>23</v>
      </c>
      <c r="E44" s="16" t="s">
        <v>66</v>
      </c>
    </row>
    <row r="45" spans="4:5" x14ac:dyDescent="0.25">
      <c r="D45" t="s">
        <v>8</v>
      </c>
      <c r="E45" s="3">
        <v>28</v>
      </c>
    </row>
    <row r="46" spans="4:5" x14ac:dyDescent="0.25">
      <c r="D46" t="s">
        <v>9</v>
      </c>
      <c r="E46" s="3">
        <v>12</v>
      </c>
    </row>
    <row r="47" spans="4:5" x14ac:dyDescent="0.25">
      <c r="D47" t="s">
        <v>10</v>
      </c>
      <c r="E47" s="3">
        <v>135</v>
      </c>
    </row>
    <row r="50" spans="4:12" x14ac:dyDescent="0.25">
      <c r="D50" s="2" t="s">
        <v>23</v>
      </c>
    </row>
    <row r="51" spans="4:12" x14ac:dyDescent="0.25">
      <c r="D51" s="2"/>
      <c r="E51" s="2"/>
      <c r="F51" s="2"/>
      <c r="G51" s="2"/>
      <c r="H51" s="2"/>
      <c r="I51" s="2"/>
      <c r="J51" s="35" t="s">
        <v>35</v>
      </c>
      <c r="K51" s="35"/>
    </row>
    <row r="52" spans="4:12" x14ac:dyDescent="0.25">
      <c r="D52" s="11" t="s">
        <v>21</v>
      </c>
      <c r="E52" s="11" t="s">
        <v>18</v>
      </c>
      <c r="F52" s="11" t="s">
        <v>19</v>
      </c>
      <c r="G52" s="11" t="s">
        <v>4</v>
      </c>
      <c r="H52" s="12" t="s">
        <v>26</v>
      </c>
      <c r="I52" s="12" t="s">
        <v>46</v>
      </c>
      <c r="J52" s="12" t="s">
        <v>36</v>
      </c>
      <c r="K52" s="11" t="s">
        <v>37</v>
      </c>
      <c r="L52" s="24" t="s">
        <v>65</v>
      </c>
    </row>
    <row r="53" spans="4:12" x14ac:dyDescent="0.25">
      <c r="D53" t="s">
        <v>0</v>
      </c>
      <c r="E53" t="s">
        <v>6</v>
      </c>
      <c r="F53" t="s">
        <v>25</v>
      </c>
      <c r="G53" s="3">
        <v>20</v>
      </c>
      <c r="H53" s="3" t="s">
        <v>27</v>
      </c>
      <c r="I53" s="7">
        <f>E34</f>
        <v>157.03125</v>
      </c>
      <c r="J53" s="3">
        <v>135</v>
      </c>
      <c r="K53" s="4">
        <f>G53*J53/1000</f>
        <v>2.7</v>
      </c>
      <c r="L53" s="7">
        <f>I53*K53</f>
        <v>423.984375</v>
      </c>
    </row>
    <row r="54" spans="4:12" x14ac:dyDescent="0.25">
      <c r="D54" t="s">
        <v>28</v>
      </c>
      <c r="E54" t="s">
        <v>29</v>
      </c>
      <c r="F54" t="s">
        <v>25</v>
      </c>
      <c r="G54" s="3">
        <v>91.3</v>
      </c>
      <c r="H54" s="3" t="s">
        <v>27</v>
      </c>
      <c r="I54" s="23">
        <f>E41</f>
        <v>45.432692307692307</v>
      </c>
      <c r="J54" s="3">
        <v>135</v>
      </c>
      <c r="K54" s="4">
        <f t="shared" ref="K54:K59" si="2">G54*J54/1000</f>
        <v>12.3255</v>
      </c>
      <c r="L54" s="7">
        <f t="shared" ref="L54:L59" si="3">I54*K54</f>
        <v>559.98064903846148</v>
      </c>
    </row>
    <row r="55" spans="4:12" x14ac:dyDescent="0.25">
      <c r="D55" t="s">
        <v>1</v>
      </c>
      <c r="E55" t="s">
        <v>5</v>
      </c>
      <c r="F55" t="s">
        <v>30</v>
      </c>
      <c r="G55" s="3">
        <v>64</v>
      </c>
      <c r="H55" s="3" t="s">
        <v>24</v>
      </c>
      <c r="I55" s="3">
        <f>$F$18</f>
        <v>3.78</v>
      </c>
      <c r="J55" s="3">
        <v>28</v>
      </c>
      <c r="K55" s="4">
        <f t="shared" si="2"/>
        <v>1.792</v>
      </c>
      <c r="L55" s="7">
        <f t="shared" si="3"/>
        <v>6.7737600000000002</v>
      </c>
    </row>
    <row r="56" spans="4:12" x14ac:dyDescent="0.25">
      <c r="D56" t="s">
        <v>1</v>
      </c>
      <c r="E56" t="s">
        <v>30</v>
      </c>
      <c r="F56" t="s">
        <v>31</v>
      </c>
      <c r="G56" s="7">
        <f>2768*1.852</f>
        <v>5126.3360000000002</v>
      </c>
      <c r="H56" s="3" t="s">
        <v>32</v>
      </c>
      <c r="I56" s="3">
        <f t="shared" ref="I56:I57" si="4">$F$18</f>
        <v>3.78</v>
      </c>
      <c r="J56" s="3">
        <v>12</v>
      </c>
      <c r="K56" s="4">
        <f t="shared" si="2"/>
        <v>61.51603200000001</v>
      </c>
      <c r="L56" s="7">
        <f t="shared" si="3"/>
        <v>232.53060096000002</v>
      </c>
    </row>
    <row r="57" spans="4:12" x14ac:dyDescent="0.25">
      <c r="D57" t="s">
        <v>1</v>
      </c>
      <c r="E57" t="s">
        <v>31</v>
      </c>
      <c r="F57" t="s">
        <v>25</v>
      </c>
      <c r="G57" s="3">
        <v>143</v>
      </c>
      <c r="H57" s="3" t="s">
        <v>27</v>
      </c>
      <c r="I57" s="3">
        <f t="shared" si="4"/>
        <v>3.78</v>
      </c>
      <c r="J57" s="3">
        <v>135</v>
      </c>
      <c r="K57" s="4">
        <f t="shared" si="2"/>
        <v>19.305</v>
      </c>
      <c r="L57" s="7">
        <f t="shared" si="3"/>
        <v>72.972899999999996</v>
      </c>
    </row>
    <row r="58" spans="4:12" x14ac:dyDescent="0.25">
      <c r="D58" t="s">
        <v>11</v>
      </c>
      <c r="E58" t="s">
        <v>25</v>
      </c>
      <c r="F58" t="s">
        <v>33</v>
      </c>
      <c r="G58" s="3">
        <v>73.400000000000006</v>
      </c>
      <c r="H58" s="3" t="s">
        <v>27</v>
      </c>
      <c r="I58" s="3">
        <f>F7</f>
        <v>126</v>
      </c>
      <c r="J58" s="3">
        <v>135</v>
      </c>
      <c r="K58" s="4">
        <f t="shared" si="2"/>
        <v>9.9090000000000007</v>
      </c>
      <c r="L58" s="7">
        <f t="shared" si="3"/>
        <v>1248.5340000000001</v>
      </c>
    </row>
    <row r="59" spans="4:12" x14ac:dyDescent="0.25">
      <c r="D59" s="13" t="s">
        <v>17</v>
      </c>
      <c r="E59" s="13" t="s">
        <v>34</v>
      </c>
      <c r="F59" s="13" t="s">
        <v>33</v>
      </c>
      <c r="G59" s="14">
        <v>8.1</v>
      </c>
      <c r="H59" s="14" t="s">
        <v>27</v>
      </c>
      <c r="I59" s="14">
        <f>F9+F8</f>
        <v>790</v>
      </c>
      <c r="J59" s="14">
        <v>135</v>
      </c>
      <c r="K59" s="15">
        <f t="shared" si="2"/>
        <v>1.0934999999999999</v>
      </c>
      <c r="L59" s="25">
        <f t="shared" si="3"/>
        <v>863.8649999999999</v>
      </c>
    </row>
    <row r="60" spans="4:12" x14ac:dyDescent="0.25">
      <c r="K60" s="10" t="s">
        <v>14</v>
      </c>
      <c r="L60" s="9">
        <f>SUM(L53:L59)</f>
        <v>3408.6412849984617</v>
      </c>
    </row>
    <row r="65" spans="4:9" ht="18" x14ac:dyDescent="0.35">
      <c r="D65" s="17" t="s">
        <v>21</v>
      </c>
      <c r="E65" s="16" t="s">
        <v>40</v>
      </c>
      <c r="F65" s="16" t="s">
        <v>67</v>
      </c>
      <c r="G65" s="16" t="s">
        <v>68</v>
      </c>
    </row>
    <row r="66" spans="4:9" x14ac:dyDescent="0.25">
      <c r="D66" t="s">
        <v>0</v>
      </c>
      <c r="E66" s="3">
        <v>157</v>
      </c>
      <c r="F66" s="3">
        <v>2.7360000000000002</v>
      </c>
      <c r="G66" s="7">
        <f>E66*F66</f>
        <v>429.55200000000002</v>
      </c>
    </row>
    <row r="67" spans="4:9" x14ac:dyDescent="0.25">
      <c r="D67" t="s">
        <v>28</v>
      </c>
      <c r="E67" s="3">
        <v>45.4</v>
      </c>
      <c r="F67" s="3">
        <v>2.7360000000000002</v>
      </c>
      <c r="G67" s="7">
        <f t="shared" ref="G67:G69" si="5">E67*F67</f>
        <v>124.21440000000001</v>
      </c>
    </row>
    <row r="68" spans="4:9" x14ac:dyDescent="0.25">
      <c r="D68" t="s">
        <v>1</v>
      </c>
      <c r="E68" s="3">
        <v>3.78</v>
      </c>
      <c r="F68" s="3">
        <v>5.4960000000000004</v>
      </c>
      <c r="G68" s="7">
        <f t="shared" si="5"/>
        <v>20.77488</v>
      </c>
    </row>
    <row r="69" spans="4:9" x14ac:dyDescent="0.25">
      <c r="D69" s="26" t="s">
        <v>17</v>
      </c>
      <c r="E69" s="3">
        <v>790</v>
      </c>
      <c r="F69" s="3">
        <v>2.7360000000000002</v>
      </c>
      <c r="G69" s="7">
        <f t="shared" si="5"/>
        <v>2161.44</v>
      </c>
    </row>
    <row r="70" spans="4:9" x14ac:dyDescent="0.25">
      <c r="D70" s="27" t="s">
        <v>13</v>
      </c>
      <c r="E70" s="14">
        <f>F11</f>
        <v>86.7</v>
      </c>
      <c r="F70" s="14">
        <v>0.42</v>
      </c>
      <c r="G70" s="25">
        <f>E70*F70</f>
        <v>36.414000000000001</v>
      </c>
    </row>
    <row r="71" spans="4:9" x14ac:dyDescent="0.25">
      <c r="F71" s="10" t="s">
        <v>14</v>
      </c>
      <c r="G71" s="9">
        <f>SUM(G66:G70)</f>
        <v>2772.3952800000002</v>
      </c>
    </row>
    <row r="72" spans="4:9" x14ac:dyDescent="0.25">
      <c r="F72" s="10"/>
      <c r="G72" s="9"/>
    </row>
    <row r="74" spans="4:9" x14ac:dyDescent="0.25">
      <c r="D74" t="s">
        <v>75</v>
      </c>
      <c r="F74" s="18">
        <v>3.1E-2</v>
      </c>
    </row>
    <row r="76" spans="4:9" x14ac:dyDescent="0.25">
      <c r="D76" s="29" t="s">
        <v>69</v>
      </c>
      <c r="E76" s="16" t="s">
        <v>40</v>
      </c>
      <c r="F76" s="16" t="s">
        <v>70</v>
      </c>
      <c r="G76" s="17" t="s">
        <v>71</v>
      </c>
      <c r="H76" s="16" t="s">
        <v>73</v>
      </c>
      <c r="I76" s="17" t="s">
        <v>74</v>
      </c>
    </row>
    <row r="77" spans="4:9" x14ac:dyDescent="0.25">
      <c r="D77" s="1" t="s">
        <v>7</v>
      </c>
      <c r="E77" s="3">
        <f>E66+E67</f>
        <v>202.4</v>
      </c>
      <c r="F77" s="3">
        <v>25</v>
      </c>
      <c r="G77" s="3">
        <f>E77*F77</f>
        <v>5060</v>
      </c>
      <c r="H77" s="3">
        <f>G77*3.6</f>
        <v>18216</v>
      </c>
      <c r="I77" s="7">
        <f>H77*$F$74</f>
        <v>564.69600000000003</v>
      </c>
    </row>
    <row r="78" spans="4:9" x14ac:dyDescent="0.25">
      <c r="D78" s="20" t="s">
        <v>72</v>
      </c>
      <c r="E78" s="14">
        <f>F19</f>
        <v>126</v>
      </c>
      <c r="F78" s="14">
        <v>35</v>
      </c>
      <c r="G78" s="14">
        <f>E78*F78</f>
        <v>4410</v>
      </c>
      <c r="H78" s="14">
        <f>G78*3.6</f>
        <v>15876</v>
      </c>
      <c r="I78" s="25">
        <f>H78*$F$74</f>
        <v>492.15600000000001</v>
      </c>
    </row>
    <row r="79" spans="4:9" x14ac:dyDescent="0.25">
      <c r="H79" s="10" t="s">
        <v>14</v>
      </c>
      <c r="I79" s="9">
        <f>SUM(I77:I78)</f>
        <v>1056.8520000000001</v>
      </c>
    </row>
    <row r="81" spans="4:10" ht="45" x14ac:dyDescent="0.25">
      <c r="D81" s="29" t="s">
        <v>21</v>
      </c>
      <c r="E81" s="12" t="s">
        <v>77</v>
      </c>
      <c r="F81" s="12" t="s">
        <v>81</v>
      </c>
      <c r="G81" s="12" t="s">
        <v>82</v>
      </c>
      <c r="H81" s="12" t="s">
        <v>83</v>
      </c>
    </row>
    <row r="82" spans="4:10" x14ac:dyDescent="0.25">
      <c r="D82" s="1" t="s">
        <v>0</v>
      </c>
      <c r="E82" s="3">
        <v>0.02</v>
      </c>
      <c r="F82" s="3">
        <v>0.90900000000000003</v>
      </c>
    </row>
    <row r="83" spans="4:10" x14ac:dyDescent="0.25">
      <c r="D83" s="1" t="s">
        <v>28</v>
      </c>
      <c r="E83" s="3">
        <f>1-E40</f>
        <v>0.16800000000000004</v>
      </c>
      <c r="F83" s="3">
        <v>0.878</v>
      </c>
    </row>
    <row r="84" spans="4:10" x14ac:dyDescent="0.25">
      <c r="D84" s="1" t="s">
        <v>13</v>
      </c>
      <c r="F84" s="3">
        <v>4.1820000000000004</v>
      </c>
      <c r="G84" s="3">
        <v>2257</v>
      </c>
      <c r="H84" s="3">
        <v>100</v>
      </c>
    </row>
    <row r="85" spans="4:10" x14ac:dyDescent="0.25">
      <c r="D85" s="1"/>
      <c r="F85" s="3"/>
      <c r="G85" s="3"/>
      <c r="H85" s="3"/>
    </row>
    <row r="86" spans="4:10" x14ac:dyDescent="0.25">
      <c r="D86" s="1" t="s">
        <v>84</v>
      </c>
      <c r="E86" s="3">
        <v>25</v>
      </c>
      <c r="H86" s="1" t="s">
        <v>91</v>
      </c>
      <c r="I86" s="3">
        <v>30</v>
      </c>
    </row>
    <row r="87" spans="4:10" ht="18" x14ac:dyDescent="0.35">
      <c r="D87" s="1" t="s">
        <v>85</v>
      </c>
      <c r="E87" s="3">
        <v>800</v>
      </c>
      <c r="H87" s="1" t="s">
        <v>94</v>
      </c>
      <c r="I87" s="3">
        <v>3.32</v>
      </c>
    </row>
    <row r="88" spans="4:10" x14ac:dyDescent="0.25">
      <c r="D88" s="1" t="s">
        <v>86</v>
      </c>
      <c r="E88" s="3">
        <v>0.8</v>
      </c>
    </row>
    <row r="89" spans="4:10" x14ac:dyDescent="0.25">
      <c r="D89" s="1"/>
      <c r="E89" s="3"/>
    </row>
    <row r="90" spans="4:10" ht="30" x14ac:dyDescent="0.25">
      <c r="D90" s="29" t="s">
        <v>76</v>
      </c>
      <c r="E90" s="12" t="s">
        <v>78</v>
      </c>
      <c r="F90" s="12" t="s">
        <v>79</v>
      </c>
      <c r="G90" s="12" t="s">
        <v>80</v>
      </c>
      <c r="H90" s="12" t="s">
        <v>87</v>
      </c>
      <c r="I90" s="12" t="s">
        <v>88</v>
      </c>
      <c r="J90" s="12" t="s">
        <v>89</v>
      </c>
    </row>
    <row r="91" spans="4:10" x14ac:dyDescent="0.25">
      <c r="D91" s="1" t="s">
        <v>0</v>
      </c>
      <c r="E91" s="3">
        <f>E66</f>
        <v>157</v>
      </c>
      <c r="F91" s="3">
        <f>E91-G91</f>
        <v>153.86000000000001</v>
      </c>
      <c r="G91" s="3">
        <f>E91*E82</f>
        <v>3.14</v>
      </c>
      <c r="H91" s="7">
        <f>(G91*1000*(($F$84*($H$84-$E$86))+($G$84)))/1000</f>
        <v>8071.8410000000003</v>
      </c>
      <c r="I91" s="7">
        <f>(($E$87-$E$86)*F82*F91*1000)/1000</f>
        <v>108390.52350000001</v>
      </c>
      <c r="J91" s="7">
        <f>H91+I91</f>
        <v>116462.36450000001</v>
      </c>
    </row>
    <row r="92" spans="4:10" x14ac:dyDescent="0.25">
      <c r="D92" s="20" t="s">
        <v>28</v>
      </c>
      <c r="E92" s="14">
        <f>E67</f>
        <v>45.4</v>
      </c>
      <c r="F92" s="14">
        <f>E92-G92</f>
        <v>37.772799999999997</v>
      </c>
      <c r="G92" s="14">
        <f>E92*E83</f>
        <v>7.6272000000000011</v>
      </c>
      <c r="H92" s="25">
        <f>(G92*1000*(($F$84*($H$84-$E$86))+($G$84)))/1000</f>
        <v>19606.861680000002</v>
      </c>
      <c r="I92" s="25">
        <f>(($E$87-$E$86)*F83*F92*1000)/1000</f>
        <v>25702.501759999999</v>
      </c>
      <c r="J92" s="25">
        <f>H92+I92</f>
        <v>45309.363440000001</v>
      </c>
    </row>
    <row r="93" spans="4:10" x14ac:dyDescent="0.25">
      <c r="D93" s="1"/>
      <c r="I93" s="28" t="s">
        <v>89</v>
      </c>
      <c r="J93" s="7">
        <f>SUM(J91:J92)</f>
        <v>161771.72794000001</v>
      </c>
    </row>
    <row r="94" spans="4:10" x14ac:dyDescent="0.25">
      <c r="I94" s="28" t="s">
        <v>90</v>
      </c>
      <c r="J94" s="7">
        <f>J93/E88</f>
        <v>202214.65992500001</v>
      </c>
    </row>
    <row r="95" spans="4:10" x14ac:dyDescent="0.25">
      <c r="I95" s="28" t="s">
        <v>92</v>
      </c>
      <c r="J95" s="7">
        <f>(J94/I86)</f>
        <v>6740.4886641666671</v>
      </c>
    </row>
    <row r="96" spans="4:10" ht="18" x14ac:dyDescent="0.35">
      <c r="I96" s="28" t="s">
        <v>95</v>
      </c>
      <c r="J96" s="7">
        <f>J95*I87</f>
        <v>22378.422365033333</v>
      </c>
    </row>
    <row r="98" spans="4:8" x14ac:dyDescent="0.25">
      <c r="E98" s="36" t="s">
        <v>15</v>
      </c>
      <c r="F98" s="36"/>
      <c r="G98" s="36"/>
    </row>
    <row r="99" spans="4:8" x14ac:dyDescent="0.25">
      <c r="E99" s="16" t="s">
        <v>104</v>
      </c>
      <c r="F99" s="16" t="s">
        <v>97</v>
      </c>
      <c r="G99" s="16" t="s">
        <v>98</v>
      </c>
    </row>
    <row r="100" spans="4:8" x14ac:dyDescent="0.25">
      <c r="E100" s="23">
        <f>F91</f>
        <v>153.86000000000001</v>
      </c>
      <c r="F100" s="23">
        <f>E100*E26</f>
        <v>86.161600000000021</v>
      </c>
      <c r="G100" s="23">
        <f>E100*E27</f>
        <v>67.698400000000007</v>
      </c>
    </row>
    <row r="104" spans="4:8" x14ac:dyDescent="0.25">
      <c r="E104" s="1" t="s">
        <v>91</v>
      </c>
      <c r="F104" s="3">
        <v>30</v>
      </c>
    </row>
    <row r="105" spans="4:8" ht="18" x14ac:dyDescent="0.35">
      <c r="E105" s="1" t="s">
        <v>94</v>
      </c>
      <c r="F105" s="3">
        <v>3.32</v>
      </c>
    </row>
    <row r="107" spans="4:8" x14ac:dyDescent="0.25">
      <c r="D107" s="10" t="s">
        <v>99</v>
      </c>
    </row>
    <row r="108" spans="4:8" ht="30" x14ac:dyDescent="0.25">
      <c r="D108" s="12" t="s">
        <v>100</v>
      </c>
      <c r="E108" s="12" t="s">
        <v>101</v>
      </c>
      <c r="F108" s="12" t="s">
        <v>102</v>
      </c>
      <c r="G108" s="12" t="s">
        <v>93</v>
      </c>
      <c r="H108" s="12" t="s">
        <v>103</v>
      </c>
    </row>
    <row r="109" spans="4:8" x14ac:dyDescent="0.25">
      <c r="D109" s="23">
        <f>F91+F92</f>
        <v>191.6328</v>
      </c>
      <c r="E109" s="3">
        <v>2.9</v>
      </c>
      <c r="F109" s="7">
        <f>D109*1000*E109</f>
        <v>555735.12</v>
      </c>
      <c r="G109" s="7">
        <f>F109/F104/1000</f>
        <v>18.524504</v>
      </c>
      <c r="H109" s="23">
        <f>G109*F105</f>
        <v>61.501353279999996</v>
      </c>
    </row>
    <row r="113" spans="4:7" ht="34.5" x14ac:dyDescent="0.35">
      <c r="D113" s="29" t="s">
        <v>20</v>
      </c>
      <c r="E113" s="12" t="s">
        <v>95</v>
      </c>
      <c r="F113" s="12" t="s">
        <v>109</v>
      </c>
      <c r="G113" s="16" t="s">
        <v>110</v>
      </c>
    </row>
    <row r="114" spans="4:7" x14ac:dyDescent="0.25">
      <c r="D114" s="30" t="s">
        <v>105</v>
      </c>
      <c r="E114" s="7">
        <f>G71</f>
        <v>2772.3952800000002</v>
      </c>
      <c r="F114" s="23">
        <f>E114/$E$4</f>
        <v>2.77239528</v>
      </c>
      <c r="G114" s="23">
        <f>(F114/$F$120)*100</f>
        <v>1.745664265003791</v>
      </c>
    </row>
    <row r="115" spans="4:7" x14ac:dyDescent="0.25">
      <c r="D115" s="1" t="s">
        <v>106</v>
      </c>
      <c r="E115" s="7">
        <f>L60</f>
        <v>3408.6412849984617</v>
      </c>
      <c r="F115" s="23">
        <f t="shared" ref="F115:F120" si="6">E115/$E$4</f>
        <v>3.4086412849984615</v>
      </c>
      <c r="G115" s="23">
        <f t="shared" ref="G115:G119" si="7">(F115/$F$120)*100</f>
        <v>2.1462824317888813</v>
      </c>
    </row>
    <row r="116" spans="4:7" x14ac:dyDescent="0.25">
      <c r="D116" s="1" t="s">
        <v>107</v>
      </c>
      <c r="E116" s="7">
        <f>I77</f>
        <v>564.69600000000003</v>
      </c>
      <c r="F116" s="23">
        <f t="shared" si="6"/>
        <v>0.56469599999999998</v>
      </c>
      <c r="G116" s="23">
        <f t="shared" si="7"/>
        <v>0.35556604604758263</v>
      </c>
    </row>
    <row r="117" spans="4:7" x14ac:dyDescent="0.25">
      <c r="D117" s="1" t="s">
        <v>76</v>
      </c>
      <c r="E117" s="7">
        <f>J96</f>
        <v>22378.422365033333</v>
      </c>
      <c r="F117" s="23">
        <f t="shared" si="6"/>
        <v>22.378422365033334</v>
      </c>
      <c r="G117" s="23">
        <f t="shared" si="7"/>
        <v>14.090780096047601</v>
      </c>
    </row>
    <row r="118" spans="4:7" x14ac:dyDescent="0.25">
      <c r="D118" s="1" t="s">
        <v>96</v>
      </c>
      <c r="E118" s="7">
        <f>(G100+H109)*1000</f>
        <v>129199.75328</v>
      </c>
      <c r="F118" s="23">
        <f t="shared" si="6"/>
        <v>129.19975328000001</v>
      </c>
      <c r="G118" s="23">
        <f t="shared" si="7"/>
        <v>81.351816595288085</v>
      </c>
    </row>
    <row r="119" spans="4:7" x14ac:dyDescent="0.25">
      <c r="D119" s="1" t="s">
        <v>108</v>
      </c>
      <c r="E119" s="7">
        <f>I78</f>
        <v>492.15600000000001</v>
      </c>
      <c r="F119" s="23">
        <f t="shared" si="6"/>
        <v>0.49215599999999998</v>
      </c>
      <c r="G119" s="23">
        <f t="shared" si="7"/>
        <v>0.30989056582407892</v>
      </c>
    </row>
    <row r="120" spans="4:7" x14ac:dyDescent="0.25">
      <c r="D120" s="1" t="s">
        <v>14</v>
      </c>
      <c r="E120" s="7">
        <f>SUM(E114:E119)</f>
        <v>158816.06421003179</v>
      </c>
      <c r="F120" s="23">
        <f t="shared" si="6"/>
        <v>158.81606421003178</v>
      </c>
    </row>
    <row r="123" spans="4:7" x14ac:dyDescent="0.25">
      <c r="D123" s="1" t="s">
        <v>118</v>
      </c>
      <c r="E123" s="7">
        <f>G109+(J95/1000)</f>
        <v>25.26499266416667</v>
      </c>
    </row>
    <row r="124" spans="4:7" x14ac:dyDescent="0.25">
      <c r="D124" s="1" t="s">
        <v>117</v>
      </c>
      <c r="E124" s="7">
        <f>292*1.46</f>
        <v>426.32</v>
      </c>
    </row>
    <row r="125" spans="4:7" x14ac:dyDescent="0.25">
      <c r="D125" s="1" t="s">
        <v>119</v>
      </c>
      <c r="E125" s="7">
        <f>E123*E124</f>
        <v>10770.971672587535</v>
      </c>
    </row>
    <row r="126" spans="4:7" x14ac:dyDescent="0.25">
      <c r="D126" s="1" t="s">
        <v>121</v>
      </c>
      <c r="E126" s="3">
        <v>75</v>
      </c>
    </row>
    <row r="127" spans="4:7" x14ac:dyDescent="0.25">
      <c r="D127" s="1" t="s">
        <v>122</v>
      </c>
      <c r="E127" s="3">
        <v>2</v>
      </c>
    </row>
    <row r="128" spans="4:7" x14ac:dyDescent="0.25">
      <c r="D128" s="1" t="s">
        <v>123</v>
      </c>
      <c r="E128" s="23">
        <f>(E120/1000)/E127</f>
        <v>79.408032105015891</v>
      </c>
    </row>
    <row r="129" spans="4:5" x14ac:dyDescent="0.25">
      <c r="D129" s="1" t="s">
        <v>124</v>
      </c>
      <c r="E129" s="7">
        <f>E126*E128</f>
        <v>5955.602407876192</v>
      </c>
    </row>
    <row r="131" spans="4:5" x14ac:dyDescent="0.25">
      <c r="D131" s="1" t="s">
        <v>125</v>
      </c>
      <c r="E131" s="7">
        <f>E125+E129</f>
        <v>16726.574080463728</v>
      </c>
    </row>
    <row r="132" spans="4:5" x14ac:dyDescent="0.25">
      <c r="D132" s="1" t="s">
        <v>126</v>
      </c>
      <c r="E132" s="7">
        <f>E131/1000</f>
        <v>16.726574080463728</v>
      </c>
    </row>
    <row r="134" spans="4:5" x14ac:dyDescent="0.25">
      <c r="D134" t="s">
        <v>120</v>
      </c>
    </row>
  </sheetData>
  <mergeCells count="2">
    <mergeCell ref="J51:K51"/>
    <mergeCell ref="E98:G9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20516-0381-49D7-977F-65EF516585DC}">
  <dimension ref="C2:AC136"/>
  <sheetViews>
    <sheetView workbookViewId="0">
      <pane ySplit="1200" activePane="bottomLeft"/>
      <selection activeCell="S1" sqref="S1:S1048576"/>
      <selection pane="bottomLeft" activeCell="P15" sqref="P15:Q15"/>
    </sheetView>
  </sheetViews>
  <sheetFormatPr defaultRowHeight="15" x14ac:dyDescent="0.25"/>
  <cols>
    <col min="4" max="4" width="23.28515625" customWidth="1"/>
    <col min="5" max="5" width="27.28515625" customWidth="1"/>
    <col min="6" max="6" width="22.140625" customWidth="1"/>
    <col min="7" max="7" width="13.85546875" customWidth="1"/>
    <col min="8" max="9" width="17.42578125" customWidth="1"/>
    <col min="10" max="10" width="18.42578125" customWidth="1"/>
    <col min="11" max="11" width="14.7109375" customWidth="1"/>
    <col min="15" max="15" width="39.7109375" customWidth="1"/>
    <col min="16" max="16" width="19" customWidth="1"/>
    <col min="17" max="17" width="13.140625" customWidth="1"/>
    <col min="19" max="19" width="41.42578125" customWidth="1"/>
  </cols>
  <sheetData>
    <row r="2" spans="4:29" x14ac:dyDescent="0.25">
      <c r="D2" s="2" t="s">
        <v>111</v>
      </c>
      <c r="Q2" s="1" t="s">
        <v>140</v>
      </c>
      <c r="R2" s="33">
        <v>192.8</v>
      </c>
      <c r="S2" s="77"/>
      <c r="Y2" s="1" t="s">
        <v>141</v>
      </c>
      <c r="Z2" s="34">
        <f>F122</f>
        <v>192.80216040043868</v>
      </c>
    </row>
    <row r="3" spans="4:29" x14ac:dyDescent="0.25">
      <c r="T3" s="1" t="s">
        <v>138</v>
      </c>
      <c r="U3" s="3">
        <v>10</v>
      </c>
    </row>
    <row r="4" spans="4:29" x14ac:dyDescent="0.25">
      <c r="D4" s="32" t="s">
        <v>39</v>
      </c>
      <c r="E4" s="32">
        <v>1000</v>
      </c>
    </row>
    <row r="5" spans="4:29" ht="75" customHeight="1" x14ac:dyDescent="0.25">
      <c r="P5" s="35" t="s">
        <v>130</v>
      </c>
      <c r="Q5" s="35"/>
      <c r="T5" s="37" t="s">
        <v>139</v>
      </c>
      <c r="U5" s="37"/>
      <c r="V5" s="37"/>
      <c r="W5" s="37" t="s">
        <v>142</v>
      </c>
      <c r="X5" s="37"/>
      <c r="Y5" s="37" t="s">
        <v>143</v>
      </c>
      <c r="Z5" s="37"/>
    </row>
    <row r="6" spans="4:29" x14ac:dyDescent="0.25">
      <c r="D6" s="32" t="s">
        <v>22</v>
      </c>
      <c r="E6" s="32" t="s">
        <v>38</v>
      </c>
      <c r="F6" s="32" t="s">
        <v>40</v>
      </c>
      <c r="O6" s="29" t="s">
        <v>22</v>
      </c>
      <c r="P6" s="16" t="s">
        <v>134</v>
      </c>
      <c r="Q6" s="17" t="s">
        <v>132</v>
      </c>
      <c r="S6" s="29" t="s">
        <v>22</v>
      </c>
      <c r="T6" s="17" t="s">
        <v>135</v>
      </c>
      <c r="U6" s="16" t="s">
        <v>136</v>
      </c>
      <c r="V6" s="16" t="s">
        <v>137</v>
      </c>
      <c r="W6" s="16" t="s">
        <v>136</v>
      </c>
      <c r="X6" s="16" t="s">
        <v>137</v>
      </c>
      <c r="Y6" s="16" t="s">
        <v>136</v>
      </c>
      <c r="Z6" s="16" t="s">
        <v>137</v>
      </c>
    </row>
    <row r="7" spans="4:29" x14ac:dyDescent="0.25">
      <c r="D7" s="3" t="s">
        <v>11</v>
      </c>
      <c r="E7" s="7">
        <f>Q7*$E$12</f>
        <v>126</v>
      </c>
      <c r="F7" s="7">
        <f>E7*$E$4/1000</f>
        <v>126</v>
      </c>
      <c r="O7" s="1" t="s">
        <v>11</v>
      </c>
      <c r="P7" s="38">
        <v>126</v>
      </c>
      <c r="Q7" s="6">
        <f>P7/$P$12</f>
        <v>0.12557930931379876</v>
      </c>
      <c r="S7" s="1" t="s">
        <v>11</v>
      </c>
      <c r="T7" s="41">
        <v>126</v>
      </c>
      <c r="U7" s="40"/>
      <c r="V7" s="40"/>
      <c r="W7" s="44"/>
      <c r="X7" s="44"/>
      <c r="Y7" s="4"/>
      <c r="Z7" s="4"/>
      <c r="AB7" s="3"/>
      <c r="AC7" s="3"/>
    </row>
    <row r="8" spans="4:29" x14ac:dyDescent="0.25">
      <c r="D8" s="3" t="s">
        <v>12</v>
      </c>
      <c r="E8" s="7">
        <f>Q8*$E$12</f>
        <v>321</v>
      </c>
      <c r="F8" s="7">
        <f t="shared" ref="F8:F11" si="0">E8*$E$4/1000</f>
        <v>321</v>
      </c>
      <c r="O8" s="1" t="s">
        <v>12</v>
      </c>
      <c r="P8" s="38">
        <v>321</v>
      </c>
      <c r="Q8" s="6">
        <f>P8/$P$12</f>
        <v>0.31992824039467782</v>
      </c>
      <c r="S8" s="1" t="s">
        <v>12</v>
      </c>
      <c r="T8" s="41">
        <v>321</v>
      </c>
      <c r="U8" s="40"/>
      <c r="V8" s="40"/>
      <c r="W8" s="44"/>
      <c r="X8" s="44"/>
      <c r="Y8" s="4"/>
      <c r="Z8" s="4"/>
    </row>
    <row r="9" spans="4:29" x14ac:dyDescent="0.25">
      <c r="D9" s="3" t="s">
        <v>3</v>
      </c>
      <c r="E9" s="7">
        <f>Q9*$E$12</f>
        <v>469</v>
      </c>
      <c r="F9" s="7">
        <f t="shared" si="0"/>
        <v>469</v>
      </c>
      <c r="O9" s="1" t="s">
        <v>3</v>
      </c>
      <c r="P9" s="38">
        <v>469</v>
      </c>
      <c r="Q9" s="6">
        <f>P9/$P$12</f>
        <v>0.46743409577913986</v>
      </c>
      <c r="S9" s="1" t="s">
        <v>3</v>
      </c>
      <c r="T9" s="41">
        <v>469</v>
      </c>
      <c r="U9" s="40"/>
      <c r="V9" s="40"/>
      <c r="W9" s="44"/>
      <c r="X9" s="44"/>
      <c r="Y9" s="4"/>
      <c r="Z9" s="4"/>
    </row>
    <row r="10" spans="4:29" x14ac:dyDescent="0.25">
      <c r="D10" s="3" t="s">
        <v>2</v>
      </c>
      <c r="E10" s="4">
        <f>Q10*$E$12</f>
        <v>0.65</v>
      </c>
      <c r="F10" s="4">
        <f t="shared" si="0"/>
        <v>0.65</v>
      </c>
      <c r="O10" s="1" t="s">
        <v>2</v>
      </c>
      <c r="P10" s="38">
        <v>0.65</v>
      </c>
      <c r="Q10" s="6">
        <f>P10/$P$12</f>
        <v>6.4782977026959685E-4</v>
      </c>
      <c r="S10" s="1" t="s">
        <v>2</v>
      </c>
      <c r="T10" s="41">
        <v>0.65</v>
      </c>
      <c r="U10" s="40"/>
      <c r="V10" s="40"/>
      <c r="W10" s="44"/>
      <c r="X10" s="44"/>
      <c r="Y10" s="4"/>
      <c r="Z10" s="4"/>
    </row>
    <row r="11" spans="4:29" x14ac:dyDescent="0.25">
      <c r="D11" s="3" t="s">
        <v>13</v>
      </c>
      <c r="E11" s="7">
        <f>Q11*$E$12</f>
        <v>86.7</v>
      </c>
      <c r="F11" s="7">
        <f t="shared" si="0"/>
        <v>86.7</v>
      </c>
      <c r="O11" s="20" t="s">
        <v>13</v>
      </c>
      <c r="P11" s="39">
        <v>86.7</v>
      </c>
      <c r="Q11" s="53">
        <f>P11/$P$12</f>
        <v>8.6410524742113914E-2</v>
      </c>
      <c r="S11" s="20" t="s">
        <v>13</v>
      </c>
      <c r="T11" s="42">
        <v>86.7</v>
      </c>
      <c r="U11" s="43"/>
      <c r="V11" s="43"/>
      <c r="W11" s="52"/>
      <c r="X11" s="52"/>
      <c r="Y11" s="15"/>
      <c r="Z11" s="15"/>
    </row>
    <row r="12" spans="4:29" x14ac:dyDescent="0.25">
      <c r="D12" s="32" t="s">
        <v>133</v>
      </c>
      <c r="E12" s="3">
        <v>1003.35</v>
      </c>
      <c r="O12" s="1" t="s">
        <v>131</v>
      </c>
      <c r="P12" s="3">
        <f>SUM(P7:P11)</f>
        <v>1003.35</v>
      </c>
      <c r="S12" s="1"/>
    </row>
    <row r="13" spans="4:29" x14ac:dyDescent="0.25">
      <c r="E13" s="28"/>
      <c r="F13" s="3"/>
      <c r="O13" s="1"/>
      <c r="P13" s="3"/>
      <c r="S13" s="1"/>
    </row>
    <row r="14" spans="4:29" x14ac:dyDescent="0.25">
      <c r="D14" s="3" t="s">
        <v>60</v>
      </c>
      <c r="E14" s="23">
        <f>F7</f>
        <v>126</v>
      </c>
    </row>
    <row r="15" spans="4:29" ht="30" customHeight="1" x14ac:dyDescent="0.25">
      <c r="P15" s="35" t="s">
        <v>145</v>
      </c>
      <c r="Q15" s="35"/>
      <c r="T15" s="37" t="s">
        <v>144</v>
      </c>
      <c r="U15" s="37"/>
      <c r="V15" s="37"/>
      <c r="W15" s="37" t="s">
        <v>142</v>
      </c>
      <c r="X15" s="37"/>
      <c r="Y15" s="37" t="s">
        <v>143</v>
      </c>
      <c r="Z15" s="37"/>
    </row>
    <row r="16" spans="4:29" x14ac:dyDescent="0.25">
      <c r="D16" s="16" t="s">
        <v>21</v>
      </c>
      <c r="E16" s="16" t="s">
        <v>41</v>
      </c>
      <c r="F16" s="16" t="s">
        <v>54</v>
      </c>
      <c r="O16" s="16" t="s">
        <v>21</v>
      </c>
      <c r="P16" s="16" t="s">
        <v>134</v>
      </c>
      <c r="Q16" s="16" t="s">
        <v>132</v>
      </c>
      <c r="S16" s="29" t="s">
        <v>21</v>
      </c>
      <c r="T16" s="17" t="s">
        <v>135</v>
      </c>
      <c r="U16" s="16" t="s">
        <v>136</v>
      </c>
      <c r="V16" s="16" t="s">
        <v>137</v>
      </c>
      <c r="W16" s="16" t="s">
        <v>136</v>
      </c>
      <c r="X16" s="16" t="s">
        <v>137</v>
      </c>
      <c r="Y16" s="16" t="s">
        <v>136</v>
      </c>
      <c r="Z16" s="16" t="s">
        <v>137</v>
      </c>
    </row>
    <row r="17" spans="3:26" x14ac:dyDescent="0.25">
      <c r="D17" s="3" t="s">
        <v>16</v>
      </c>
      <c r="E17" s="3">
        <f>Q17*$E$20</f>
        <v>670</v>
      </c>
      <c r="F17" s="23">
        <f>E17*$F$7/1000</f>
        <v>84.42</v>
      </c>
      <c r="O17" s="1" t="s">
        <v>16</v>
      </c>
      <c r="P17" s="38">
        <v>670</v>
      </c>
      <c r="Q17" s="3">
        <f>P17/$P$20</f>
        <v>0.67</v>
      </c>
      <c r="S17" s="1" t="s">
        <v>16</v>
      </c>
      <c r="T17" s="41">
        <v>670</v>
      </c>
      <c r="U17" s="40"/>
      <c r="V17" s="40"/>
      <c r="W17" s="44"/>
      <c r="X17" s="44"/>
      <c r="Y17" s="4"/>
      <c r="Z17" s="4"/>
    </row>
    <row r="18" spans="3:26" x14ac:dyDescent="0.25">
      <c r="D18" s="3" t="s">
        <v>28</v>
      </c>
      <c r="E18" s="3">
        <f t="shared" ref="E18:E19" si="1">Q18*$E$20</f>
        <v>300</v>
      </c>
      <c r="F18" s="23">
        <f t="shared" ref="F18:F19" si="2">E18*$F$7/1000</f>
        <v>37.799999999999997</v>
      </c>
      <c r="O18" s="1" t="s">
        <v>28</v>
      </c>
      <c r="P18" s="38">
        <v>300</v>
      </c>
      <c r="Q18" s="3">
        <f t="shared" ref="Q18:Q19" si="3">P18/$P$20</f>
        <v>0.3</v>
      </c>
      <c r="S18" s="1" t="s">
        <v>28</v>
      </c>
      <c r="T18" s="41">
        <v>300</v>
      </c>
      <c r="U18" s="40"/>
      <c r="V18" s="40"/>
      <c r="W18" s="44"/>
      <c r="X18" s="44"/>
      <c r="Y18" s="4"/>
      <c r="Z18" s="4"/>
    </row>
    <row r="19" spans="3:26" x14ac:dyDescent="0.25">
      <c r="D19" s="3" t="s">
        <v>1</v>
      </c>
      <c r="E19" s="3">
        <f t="shared" si="1"/>
        <v>30</v>
      </c>
      <c r="F19" s="23">
        <f t="shared" si="2"/>
        <v>3.78</v>
      </c>
      <c r="O19" s="20" t="s">
        <v>1</v>
      </c>
      <c r="P19" s="39">
        <v>30</v>
      </c>
      <c r="Q19" s="14">
        <f t="shared" si="3"/>
        <v>0.03</v>
      </c>
      <c r="S19" s="20" t="s">
        <v>1</v>
      </c>
      <c r="T19" s="42">
        <f>0.03*1000</f>
        <v>30</v>
      </c>
      <c r="U19" s="43"/>
      <c r="V19" s="43"/>
      <c r="W19" s="52"/>
      <c r="X19" s="52"/>
      <c r="Y19" s="15"/>
      <c r="Z19" s="15"/>
    </row>
    <row r="20" spans="3:26" x14ac:dyDescent="0.25">
      <c r="D20" s="1" t="s">
        <v>14</v>
      </c>
      <c r="E20" s="3">
        <v>1000</v>
      </c>
      <c r="F20" s="23">
        <f>SUM(F17:F19)</f>
        <v>126</v>
      </c>
      <c r="O20" s="1" t="s">
        <v>131</v>
      </c>
      <c r="P20" s="3">
        <f>SUM(P17:P19)</f>
        <v>1000</v>
      </c>
      <c r="T20" s="3"/>
      <c r="U20" s="3"/>
      <c r="V20" s="3"/>
      <c r="W20" s="23"/>
      <c r="X20" s="23"/>
      <c r="Y20" s="4"/>
      <c r="Z20" s="4"/>
    </row>
    <row r="21" spans="3:26" x14ac:dyDescent="0.25">
      <c r="T21" s="3"/>
      <c r="U21" s="3"/>
      <c r="V21" s="3"/>
      <c r="W21" s="23"/>
      <c r="X21" s="23"/>
      <c r="Y21" s="4"/>
      <c r="Z21" s="4"/>
    </row>
    <row r="22" spans="3:26" ht="18" x14ac:dyDescent="0.35">
      <c r="D22" s="3" t="s">
        <v>42</v>
      </c>
      <c r="E22" s="8" t="s">
        <v>43</v>
      </c>
    </row>
    <row r="23" spans="3:26" ht="18" x14ac:dyDescent="0.35">
      <c r="E23" t="s">
        <v>44</v>
      </c>
    </row>
    <row r="25" spans="3:26" x14ac:dyDescent="0.25">
      <c r="C25" s="17"/>
      <c r="D25" s="16" t="s">
        <v>21</v>
      </c>
      <c r="E25" s="16" t="s">
        <v>47</v>
      </c>
      <c r="F25" s="16" t="s">
        <v>48</v>
      </c>
      <c r="G25" s="16" t="s">
        <v>49</v>
      </c>
    </row>
    <row r="26" spans="3:26" x14ac:dyDescent="0.25">
      <c r="C26" t="s">
        <v>50</v>
      </c>
      <c r="D26" s="3" t="s">
        <v>45</v>
      </c>
      <c r="E26" s="3">
        <v>1</v>
      </c>
      <c r="F26" s="3">
        <v>100</v>
      </c>
      <c r="G26" s="3">
        <f>E26*1000/F26</f>
        <v>10</v>
      </c>
    </row>
    <row r="27" spans="3:26" x14ac:dyDescent="0.25">
      <c r="C27" t="s">
        <v>51</v>
      </c>
      <c r="D27" s="3" t="s">
        <v>52</v>
      </c>
      <c r="E27" s="3">
        <f>G27*F27/1000</f>
        <v>0.56000000000000005</v>
      </c>
      <c r="F27" s="3">
        <v>56</v>
      </c>
      <c r="G27" s="3">
        <v>10</v>
      </c>
    </row>
    <row r="28" spans="3:26" x14ac:dyDescent="0.25">
      <c r="C28" s="13" t="s">
        <v>51</v>
      </c>
      <c r="D28" s="14" t="s">
        <v>53</v>
      </c>
      <c r="E28" s="14">
        <f>G28*F28/1000</f>
        <v>0.44</v>
      </c>
      <c r="F28" s="14">
        <v>44</v>
      </c>
      <c r="G28" s="14">
        <v>10</v>
      </c>
    </row>
    <row r="30" spans="3:26" x14ac:dyDescent="0.25">
      <c r="D30" s="19" t="s">
        <v>55</v>
      </c>
    </row>
    <row r="31" spans="3:26" ht="30" customHeight="1" x14ac:dyDescent="0.25">
      <c r="T31" s="37" t="s">
        <v>146</v>
      </c>
      <c r="U31" s="37"/>
      <c r="V31" s="37"/>
      <c r="W31" s="37" t="s">
        <v>142</v>
      </c>
      <c r="X31" s="37"/>
      <c r="Y31" s="37" t="s">
        <v>143</v>
      </c>
      <c r="Z31" s="37"/>
    </row>
    <row r="32" spans="3:26" x14ac:dyDescent="0.25">
      <c r="D32" s="1" t="s">
        <v>56</v>
      </c>
      <c r="E32" s="3">
        <f>F17</f>
        <v>84.42</v>
      </c>
      <c r="O32" s="29" t="s">
        <v>146</v>
      </c>
      <c r="P32" s="13"/>
      <c r="S32" s="29" t="s">
        <v>146</v>
      </c>
      <c r="T32" s="17" t="s">
        <v>135</v>
      </c>
      <c r="U32" s="16" t="s">
        <v>136</v>
      </c>
      <c r="V32" s="16" t="s">
        <v>137</v>
      </c>
      <c r="W32" s="16" t="s">
        <v>136</v>
      </c>
      <c r="X32" s="16" t="s">
        <v>137</v>
      </c>
      <c r="Y32" s="16" t="s">
        <v>136</v>
      </c>
      <c r="Z32" s="16" t="s">
        <v>137</v>
      </c>
    </row>
    <row r="33" spans="4:26" x14ac:dyDescent="0.25">
      <c r="D33" s="1" t="s">
        <v>57</v>
      </c>
      <c r="E33" s="3">
        <f>P33</f>
        <v>0.56000000000000005</v>
      </c>
      <c r="O33" s="1" t="s">
        <v>57</v>
      </c>
      <c r="P33" s="38">
        <v>0.56000000000000005</v>
      </c>
      <c r="S33" s="1" t="s">
        <v>57</v>
      </c>
      <c r="T33" s="41">
        <v>0.56000000000000005</v>
      </c>
      <c r="U33" s="45"/>
      <c r="V33" s="54"/>
      <c r="W33" s="44"/>
      <c r="X33" s="44"/>
      <c r="Y33" s="4"/>
      <c r="Z33" s="4"/>
    </row>
    <row r="34" spans="4:26" x14ac:dyDescent="0.25">
      <c r="D34" s="20" t="s">
        <v>58</v>
      </c>
      <c r="E34" s="14">
        <f>P34</f>
        <v>0.96</v>
      </c>
      <c r="O34" s="20" t="s">
        <v>58</v>
      </c>
      <c r="P34" s="39">
        <v>0.96</v>
      </c>
      <c r="S34" s="20" t="s">
        <v>58</v>
      </c>
      <c r="T34" s="42">
        <v>0.96</v>
      </c>
      <c r="U34" s="46"/>
      <c r="V34" s="55"/>
      <c r="W34" s="52"/>
      <c r="X34" s="52"/>
      <c r="Y34" s="15"/>
      <c r="Z34" s="15"/>
    </row>
    <row r="35" spans="4:26" x14ac:dyDescent="0.25">
      <c r="D35" s="21" t="s">
        <v>59</v>
      </c>
      <c r="E35" s="7">
        <f>E32/E33/E34</f>
        <v>157.03125</v>
      </c>
    </row>
    <row r="38" spans="4:26" x14ac:dyDescent="0.25">
      <c r="D38" s="22" t="s">
        <v>61</v>
      </c>
    </row>
    <row r="39" spans="4:26" ht="30" customHeight="1" x14ac:dyDescent="0.25">
      <c r="T39" s="37" t="s">
        <v>147</v>
      </c>
      <c r="U39" s="37"/>
      <c r="V39" s="37"/>
      <c r="W39" s="37" t="s">
        <v>142</v>
      </c>
      <c r="X39" s="37"/>
      <c r="Y39" s="37" t="s">
        <v>143</v>
      </c>
      <c r="Z39" s="37"/>
    </row>
    <row r="40" spans="4:26" x14ac:dyDescent="0.25">
      <c r="D40" s="1" t="s">
        <v>62</v>
      </c>
      <c r="E40" s="3">
        <f>F18</f>
        <v>37.799999999999997</v>
      </c>
      <c r="O40" s="29" t="s">
        <v>147</v>
      </c>
      <c r="P40" s="13"/>
      <c r="S40" s="29" t="s">
        <v>147</v>
      </c>
      <c r="T40" s="17" t="s">
        <v>135</v>
      </c>
      <c r="U40" s="16" t="s">
        <v>136</v>
      </c>
      <c r="V40" s="16" t="s">
        <v>137</v>
      </c>
      <c r="W40" s="16" t="s">
        <v>136</v>
      </c>
      <c r="X40" s="16" t="s">
        <v>137</v>
      </c>
      <c r="Y40" s="16" t="s">
        <v>136</v>
      </c>
      <c r="Z40" s="16" t="s">
        <v>137</v>
      </c>
    </row>
    <row r="41" spans="4:26" x14ac:dyDescent="0.25">
      <c r="D41" s="20" t="s">
        <v>63</v>
      </c>
      <c r="E41" s="14">
        <f>P41</f>
        <v>0.83199999999999996</v>
      </c>
      <c r="O41" s="20" t="s">
        <v>63</v>
      </c>
      <c r="P41" s="39">
        <v>0.83199999999999996</v>
      </c>
      <c r="S41" s="90" t="s">
        <v>63</v>
      </c>
      <c r="T41" s="48">
        <v>0.83199999999999996</v>
      </c>
      <c r="U41" s="49"/>
      <c r="V41" s="49"/>
      <c r="W41" s="56"/>
      <c r="X41" s="56"/>
      <c r="Y41" s="51"/>
      <c r="Z41" s="51"/>
    </row>
    <row r="42" spans="4:26" x14ac:dyDescent="0.25">
      <c r="D42" s="1" t="s">
        <v>64</v>
      </c>
      <c r="E42" s="23">
        <f>E40/E41</f>
        <v>45.432692307692307</v>
      </c>
    </row>
    <row r="44" spans="4:26" ht="33" customHeight="1" x14ac:dyDescent="0.35">
      <c r="T44" s="36" t="s">
        <v>148</v>
      </c>
      <c r="U44" s="36"/>
      <c r="V44" s="36"/>
      <c r="W44" s="57" t="s">
        <v>142</v>
      </c>
      <c r="X44" s="57"/>
      <c r="Y44" s="37" t="s">
        <v>143</v>
      </c>
      <c r="Z44" s="37"/>
    </row>
    <row r="45" spans="4:26" ht="18" x14ac:dyDescent="0.35">
      <c r="D45" s="17" t="s">
        <v>23</v>
      </c>
      <c r="E45" s="16" t="s">
        <v>66</v>
      </c>
      <c r="O45" s="29" t="s">
        <v>23</v>
      </c>
      <c r="P45" s="16" t="s">
        <v>66</v>
      </c>
      <c r="S45" s="29" t="s">
        <v>23</v>
      </c>
      <c r="T45" s="17" t="s">
        <v>135</v>
      </c>
      <c r="U45" s="16" t="s">
        <v>136</v>
      </c>
      <c r="V45" s="16" t="s">
        <v>137</v>
      </c>
      <c r="W45" s="16" t="s">
        <v>136</v>
      </c>
      <c r="X45" s="16" t="s">
        <v>137</v>
      </c>
      <c r="Y45" s="16" t="s">
        <v>136</v>
      </c>
      <c r="Z45" s="16" t="s">
        <v>137</v>
      </c>
    </row>
    <row r="46" spans="4:26" x14ac:dyDescent="0.25">
      <c r="D46" t="s">
        <v>8</v>
      </c>
      <c r="E46" s="3">
        <f>P46</f>
        <v>28</v>
      </c>
      <c r="O46" s="1" t="s">
        <v>8</v>
      </c>
      <c r="P46" s="38">
        <v>28</v>
      </c>
      <c r="S46" s="1" t="s">
        <v>8</v>
      </c>
      <c r="T46" s="41">
        <v>28</v>
      </c>
      <c r="U46" s="58"/>
      <c r="V46" s="58"/>
      <c r="W46" s="44"/>
      <c r="X46" s="44"/>
      <c r="Y46" s="59"/>
      <c r="Z46" s="59"/>
    </row>
    <row r="47" spans="4:26" x14ac:dyDescent="0.25">
      <c r="D47" t="s">
        <v>9</v>
      </c>
      <c r="E47" s="3">
        <f>P47</f>
        <v>12</v>
      </c>
      <c r="O47" s="1" t="s">
        <v>9</v>
      </c>
      <c r="P47" s="38">
        <v>12</v>
      </c>
      <c r="S47" s="1" t="s">
        <v>9</v>
      </c>
      <c r="T47" s="41">
        <v>12</v>
      </c>
      <c r="U47" s="58"/>
      <c r="V47" s="58"/>
      <c r="W47" s="44"/>
      <c r="X47" s="44"/>
      <c r="Y47" s="59"/>
      <c r="Z47" s="59"/>
    </row>
    <row r="48" spans="4:26" x14ac:dyDescent="0.25">
      <c r="D48" t="s">
        <v>10</v>
      </c>
      <c r="E48" s="3">
        <f>P48</f>
        <v>135</v>
      </c>
      <c r="O48" s="20" t="s">
        <v>10</v>
      </c>
      <c r="P48" s="39">
        <v>135</v>
      </c>
      <c r="S48" s="20" t="s">
        <v>10</v>
      </c>
      <c r="T48" s="42">
        <v>135</v>
      </c>
      <c r="U48" s="46"/>
      <c r="V48" s="46"/>
      <c r="W48" s="52"/>
      <c r="X48" s="52"/>
      <c r="Y48" s="15"/>
      <c r="Z48" s="15"/>
    </row>
    <row r="51" spans="4:26" x14ac:dyDescent="0.25">
      <c r="D51" s="2" t="s">
        <v>23</v>
      </c>
    </row>
    <row r="52" spans="4:26" ht="30.75" customHeight="1" x14ac:dyDescent="0.25">
      <c r="D52" s="2"/>
      <c r="E52" s="2"/>
      <c r="F52" s="2"/>
      <c r="G52" s="2"/>
      <c r="H52" s="2"/>
      <c r="I52" s="2"/>
      <c r="J52" s="35" t="s">
        <v>35</v>
      </c>
      <c r="K52" s="35"/>
      <c r="T52" s="36" t="s">
        <v>150</v>
      </c>
      <c r="U52" s="36"/>
      <c r="V52" s="36"/>
      <c r="W52" s="57" t="s">
        <v>142</v>
      </c>
      <c r="X52" s="57"/>
      <c r="Y52" s="37" t="s">
        <v>143</v>
      </c>
      <c r="Z52" s="37"/>
    </row>
    <row r="53" spans="4:26" x14ac:dyDescent="0.25">
      <c r="D53" s="11" t="s">
        <v>21</v>
      </c>
      <c r="E53" s="11" t="s">
        <v>18</v>
      </c>
      <c r="F53" s="11" t="s">
        <v>19</v>
      </c>
      <c r="G53" s="11" t="s">
        <v>4</v>
      </c>
      <c r="H53" s="12" t="s">
        <v>26</v>
      </c>
      <c r="I53" s="12" t="s">
        <v>46</v>
      </c>
      <c r="J53" s="12" t="s">
        <v>36</v>
      </c>
      <c r="K53" s="11" t="s">
        <v>37</v>
      </c>
      <c r="L53" s="24" t="s">
        <v>65</v>
      </c>
      <c r="O53" s="29" t="s">
        <v>149</v>
      </c>
      <c r="P53" s="16" t="s">
        <v>4</v>
      </c>
      <c r="S53" s="29" t="s">
        <v>149</v>
      </c>
      <c r="T53" s="17" t="s">
        <v>135</v>
      </c>
      <c r="U53" s="16" t="s">
        <v>136</v>
      </c>
      <c r="V53" s="16" t="s">
        <v>137</v>
      </c>
      <c r="W53" s="16" t="s">
        <v>136</v>
      </c>
      <c r="X53" s="16" t="s">
        <v>137</v>
      </c>
      <c r="Y53" s="16" t="s">
        <v>136</v>
      </c>
      <c r="Z53" s="16" t="s">
        <v>137</v>
      </c>
    </row>
    <row r="54" spans="4:26" x14ac:dyDescent="0.25">
      <c r="D54" t="s">
        <v>0</v>
      </c>
      <c r="E54" t="s">
        <v>6</v>
      </c>
      <c r="F54" t="s">
        <v>25</v>
      </c>
      <c r="G54" s="3">
        <f>P54</f>
        <v>20</v>
      </c>
      <c r="H54" s="3" t="s">
        <v>27</v>
      </c>
      <c r="I54" s="7">
        <f>E35</f>
        <v>157.03125</v>
      </c>
      <c r="J54" s="3">
        <f>E48</f>
        <v>135</v>
      </c>
      <c r="K54" s="4">
        <f>G54*J54/1000</f>
        <v>2.7</v>
      </c>
      <c r="L54" s="7">
        <f>I54*K54</f>
        <v>423.984375</v>
      </c>
      <c r="O54" s="1" t="str">
        <f>_xlfn.CONCAT(E54," - ",F54)</f>
        <v>Oparure Quarry - Graymont, Otorohanga</v>
      </c>
      <c r="P54" s="38">
        <v>20</v>
      </c>
      <c r="S54" s="1" t="str">
        <f>O54</f>
        <v>Oparure Quarry - Graymont, Otorohanga</v>
      </c>
      <c r="T54" s="41">
        <v>20</v>
      </c>
      <c r="U54" s="60"/>
      <c r="V54" s="60"/>
      <c r="W54" s="44"/>
      <c r="X54" s="44"/>
      <c r="Y54" s="59"/>
      <c r="Z54" s="59"/>
    </row>
    <row r="55" spans="4:26" x14ac:dyDescent="0.25">
      <c r="D55" t="s">
        <v>28</v>
      </c>
      <c r="E55" t="s">
        <v>29</v>
      </c>
      <c r="F55" t="s">
        <v>25</v>
      </c>
      <c r="G55" s="3">
        <f t="shared" ref="G55:G60" si="4">P55</f>
        <v>91.3</v>
      </c>
      <c r="H55" s="3" t="s">
        <v>27</v>
      </c>
      <c r="I55" s="23">
        <f>E42</f>
        <v>45.432692307692307</v>
      </c>
      <c r="J55" s="3">
        <f>E48</f>
        <v>135</v>
      </c>
      <c r="K55" s="4">
        <f t="shared" ref="K55:K60" si="5">G55*J55/1000</f>
        <v>12.3255</v>
      </c>
      <c r="L55" s="7">
        <f t="shared" ref="L55:L60" si="6">I55*K55</f>
        <v>559.98064903846148</v>
      </c>
      <c r="O55" s="1" t="str">
        <f t="shared" ref="O55:O60" si="7">_xlfn.CONCAT(E55," - ",F55)</f>
        <v>Huntly Quarry - Graymont, Otorohanga</v>
      </c>
      <c r="P55" s="38">
        <v>91.3</v>
      </c>
      <c r="S55" s="1" t="str">
        <f t="shared" ref="S55:S60" si="8">O55</f>
        <v>Huntly Quarry - Graymont, Otorohanga</v>
      </c>
      <c r="T55" s="41">
        <v>91.3</v>
      </c>
      <c r="U55" s="60"/>
      <c r="V55" s="60"/>
      <c r="W55" s="44"/>
      <c r="X55" s="44"/>
      <c r="Y55" s="59"/>
      <c r="Z55" s="59"/>
    </row>
    <row r="56" spans="4:26" x14ac:dyDescent="0.25">
      <c r="D56" t="s">
        <v>1</v>
      </c>
      <c r="E56" t="s">
        <v>5</v>
      </c>
      <c r="F56" t="s">
        <v>30</v>
      </c>
      <c r="G56" s="3">
        <f t="shared" si="4"/>
        <v>64</v>
      </c>
      <c r="H56" s="3" t="s">
        <v>24</v>
      </c>
      <c r="I56" s="23">
        <f>$F$19</f>
        <v>3.78</v>
      </c>
      <c r="J56" s="3">
        <f>E46</f>
        <v>28</v>
      </c>
      <c r="K56" s="4">
        <f t="shared" si="5"/>
        <v>1.792</v>
      </c>
      <c r="L56" s="7">
        <f t="shared" si="6"/>
        <v>6.7737600000000002</v>
      </c>
      <c r="O56" s="1" t="str">
        <f t="shared" si="7"/>
        <v>Lake McDonnell - Thevenard</v>
      </c>
      <c r="P56" s="38">
        <v>64</v>
      </c>
      <c r="S56" s="1" t="str">
        <f t="shared" si="8"/>
        <v>Lake McDonnell - Thevenard</v>
      </c>
      <c r="T56" s="41">
        <v>64</v>
      </c>
      <c r="U56" s="60"/>
      <c r="V56" s="60"/>
      <c r="W56" s="44"/>
      <c r="X56" s="44"/>
      <c r="Y56" s="59"/>
      <c r="Z56" s="59"/>
    </row>
    <row r="57" spans="4:26" x14ac:dyDescent="0.25">
      <c r="D57" t="s">
        <v>1</v>
      </c>
      <c r="E57" t="s">
        <v>30</v>
      </c>
      <c r="F57" t="s">
        <v>31</v>
      </c>
      <c r="G57" s="7">
        <f t="shared" si="4"/>
        <v>5126</v>
      </c>
      <c r="H57" s="3" t="s">
        <v>32</v>
      </c>
      <c r="I57" s="23">
        <f>$F$19</f>
        <v>3.78</v>
      </c>
      <c r="J57" s="3">
        <f>E47</f>
        <v>12</v>
      </c>
      <c r="K57" s="4">
        <f t="shared" si="5"/>
        <v>61.512</v>
      </c>
      <c r="L57" s="7">
        <f t="shared" si="6"/>
        <v>232.51535999999999</v>
      </c>
      <c r="O57" s="1" t="str">
        <f t="shared" si="7"/>
        <v>Thevenard - Port of Tauranga</v>
      </c>
      <c r="P57" s="62">
        <v>5126</v>
      </c>
      <c r="S57" s="1" t="str">
        <f t="shared" si="8"/>
        <v>Thevenard - Port of Tauranga</v>
      </c>
      <c r="T57" s="63">
        <v>5126.3360000000002</v>
      </c>
      <c r="U57" s="60"/>
      <c r="V57" s="60"/>
      <c r="W57" s="44"/>
      <c r="X57" s="44"/>
      <c r="Y57" s="59"/>
      <c r="Z57" s="59"/>
    </row>
    <row r="58" spans="4:26" x14ac:dyDescent="0.25">
      <c r="D58" t="s">
        <v>1</v>
      </c>
      <c r="E58" t="s">
        <v>31</v>
      </c>
      <c r="F58" t="s">
        <v>25</v>
      </c>
      <c r="G58" s="3">
        <f t="shared" si="4"/>
        <v>143</v>
      </c>
      <c r="H58" s="3" t="s">
        <v>27</v>
      </c>
      <c r="I58" s="23">
        <f>$F$19</f>
        <v>3.78</v>
      </c>
      <c r="J58" s="3">
        <f>E48</f>
        <v>135</v>
      </c>
      <c r="K58" s="4">
        <f t="shared" si="5"/>
        <v>19.305</v>
      </c>
      <c r="L58" s="7">
        <f t="shared" si="6"/>
        <v>72.972899999999996</v>
      </c>
      <c r="O58" s="1" t="str">
        <f t="shared" si="7"/>
        <v>Port of Tauranga - Graymont, Otorohanga</v>
      </c>
      <c r="P58" s="38">
        <v>143</v>
      </c>
      <c r="S58" s="1" t="str">
        <f t="shared" si="8"/>
        <v>Port of Tauranga - Graymont, Otorohanga</v>
      </c>
      <c r="T58" s="41">
        <v>143</v>
      </c>
      <c r="U58" s="60"/>
      <c r="V58" s="60"/>
      <c r="W58" s="44"/>
      <c r="X58" s="44"/>
      <c r="Y58" s="59"/>
      <c r="Z58" s="59"/>
    </row>
    <row r="59" spans="4:26" x14ac:dyDescent="0.25">
      <c r="D59" t="s">
        <v>11</v>
      </c>
      <c r="E59" t="s">
        <v>25</v>
      </c>
      <c r="F59" t="s">
        <v>33</v>
      </c>
      <c r="G59" s="3">
        <f t="shared" si="4"/>
        <v>73.400000000000006</v>
      </c>
      <c r="H59" s="3" t="s">
        <v>27</v>
      </c>
      <c r="I59" s="7">
        <f>F7</f>
        <v>126</v>
      </c>
      <c r="J59" s="3">
        <f>E48</f>
        <v>135</v>
      </c>
      <c r="K59" s="4">
        <f t="shared" si="5"/>
        <v>9.9090000000000007</v>
      </c>
      <c r="L59" s="7">
        <f t="shared" si="6"/>
        <v>1248.5340000000001</v>
      </c>
      <c r="O59" s="1" t="str">
        <f t="shared" si="7"/>
        <v>Graymont, Otorohanga - Allied Concrete</v>
      </c>
      <c r="P59" s="38">
        <v>73.400000000000006</v>
      </c>
      <c r="S59" s="1" t="str">
        <f t="shared" si="8"/>
        <v>Graymont, Otorohanga - Allied Concrete</v>
      </c>
      <c r="T59" s="41">
        <v>73.400000000000006</v>
      </c>
      <c r="U59" s="60"/>
      <c r="V59" s="60"/>
      <c r="W59" s="44"/>
      <c r="X59" s="44"/>
      <c r="Y59" s="59"/>
      <c r="Z59" s="59"/>
    </row>
    <row r="60" spans="4:26" x14ac:dyDescent="0.25">
      <c r="D60" s="13" t="s">
        <v>17</v>
      </c>
      <c r="E60" s="13" t="s">
        <v>34</v>
      </c>
      <c r="F60" s="13" t="s">
        <v>33</v>
      </c>
      <c r="G60" s="14">
        <f t="shared" si="4"/>
        <v>8.1</v>
      </c>
      <c r="H60" s="14" t="s">
        <v>27</v>
      </c>
      <c r="I60" s="25">
        <f>F9+F8</f>
        <v>790</v>
      </c>
      <c r="J60" s="14">
        <f>E48</f>
        <v>135</v>
      </c>
      <c r="K60" s="15">
        <f t="shared" si="5"/>
        <v>1.0934999999999999</v>
      </c>
      <c r="L60" s="25">
        <f t="shared" si="6"/>
        <v>863.8649999999999</v>
      </c>
      <c r="O60" s="20" t="str">
        <f t="shared" si="7"/>
        <v>Fulton Hogan, Ngaruawhahia - Allied Concrete</v>
      </c>
      <c r="P60" s="39">
        <v>8.1</v>
      </c>
      <c r="S60" s="20" t="str">
        <f t="shared" si="8"/>
        <v>Fulton Hogan, Ngaruawhahia - Allied Concrete</v>
      </c>
      <c r="T60" s="42">
        <v>8.1</v>
      </c>
      <c r="U60" s="61"/>
      <c r="V60" s="61"/>
      <c r="W60" s="52"/>
      <c r="X60" s="52"/>
      <c r="Y60" s="15"/>
      <c r="Z60" s="15"/>
    </row>
    <row r="61" spans="4:26" x14ac:dyDescent="0.25">
      <c r="K61" s="32" t="s">
        <v>14</v>
      </c>
      <c r="L61" s="9">
        <f>SUM(L54:L60)</f>
        <v>3408.6260440384613</v>
      </c>
    </row>
    <row r="65" spans="4:27" ht="33" customHeight="1" x14ac:dyDescent="0.25">
      <c r="T65" s="69" t="s">
        <v>151</v>
      </c>
      <c r="U65" s="69"/>
      <c r="V65" s="69"/>
      <c r="W65" s="57" t="s">
        <v>142</v>
      </c>
      <c r="X65" s="57"/>
      <c r="Y65" s="37" t="s">
        <v>143</v>
      </c>
      <c r="Z65" s="37"/>
    </row>
    <row r="66" spans="4:27" ht="18" x14ac:dyDescent="0.35">
      <c r="D66" s="17" t="s">
        <v>21</v>
      </c>
      <c r="E66" s="16" t="s">
        <v>40</v>
      </c>
      <c r="F66" s="16" t="s">
        <v>67</v>
      </c>
      <c r="G66" s="16" t="s">
        <v>68</v>
      </c>
      <c r="O66" s="29" t="s">
        <v>21</v>
      </c>
      <c r="P66" s="16" t="s">
        <v>67</v>
      </c>
      <c r="S66" s="29" t="s">
        <v>21</v>
      </c>
      <c r="T66" s="17" t="s">
        <v>135</v>
      </c>
      <c r="U66" s="16" t="s">
        <v>136</v>
      </c>
      <c r="V66" s="16" t="s">
        <v>137</v>
      </c>
      <c r="W66" s="16" t="s">
        <v>136</v>
      </c>
      <c r="X66" s="16" t="s">
        <v>137</v>
      </c>
      <c r="Y66" s="16" t="s">
        <v>136</v>
      </c>
      <c r="Z66" s="16" t="s">
        <v>137</v>
      </c>
    </row>
    <row r="67" spans="4:27" x14ac:dyDescent="0.25">
      <c r="D67" t="s">
        <v>0</v>
      </c>
      <c r="E67" s="7">
        <f>E35</f>
        <v>157.03125</v>
      </c>
      <c r="F67" s="4">
        <f>P67</f>
        <v>2.74</v>
      </c>
      <c r="G67" s="7">
        <f>E67*F67</f>
        <v>430.26562500000006</v>
      </c>
      <c r="O67" s="1" t="s">
        <v>0</v>
      </c>
      <c r="P67" s="64">
        <v>2.74</v>
      </c>
      <c r="S67" s="1" t="s">
        <v>0</v>
      </c>
      <c r="T67" s="66">
        <v>2.7360000000000002</v>
      </c>
      <c r="U67" s="58"/>
      <c r="V67" s="58"/>
      <c r="W67" s="44"/>
      <c r="X67" s="44"/>
      <c r="Y67" s="59"/>
      <c r="Z67" s="59"/>
    </row>
    <row r="68" spans="4:27" x14ac:dyDescent="0.25">
      <c r="D68" t="s">
        <v>28</v>
      </c>
      <c r="E68" s="23">
        <f>E42</f>
        <v>45.432692307692307</v>
      </c>
      <c r="F68" s="4">
        <f t="shared" ref="F68:F71" si="9">P68</f>
        <v>2.74</v>
      </c>
      <c r="G68" s="7">
        <f t="shared" ref="G68:G70" si="10">E68*F68</f>
        <v>124.48557692307693</v>
      </c>
      <c r="O68" s="1" t="s">
        <v>28</v>
      </c>
      <c r="P68" s="64">
        <v>2.74</v>
      </c>
      <c r="S68" s="1" t="s">
        <v>28</v>
      </c>
      <c r="T68" s="66">
        <v>2.7360000000000002</v>
      </c>
      <c r="U68" s="58"/>
      <c r="V68" s="58"/>
      <c r="W68" s="44"/>
      <c r="X68" s="44"/>
      <c r="Y68" s="59"/>
      <c r="Z68" s="59"/>
    </row>
    <row r="69" spans="4:27" x14ac:dyDescent="0.25">
      <c r="D69" t="s">
        <v>1</v>
      </c>
      <c r="E69" s="23">
        <f>F19</f>
        <v>3.78</v>
      </c>
      <c r="F69" s="4">
        <f t="shared" si="9"/>
        <v>5.5</v>
      </c>
      <c r="G69" s="7">
        <f t="shared" si="10"/>
        <v>20.79</v>
      </c>
      <c r="O69" s="1" t="s">
        <v>1</v>
      </c>
      <c r="P69" s="64">
        <v>5.5</v>
      </c>
      <c r="S69" s="1" t="s">
        <v>1</v>
      </c>
      <c r="T69" s="66">
        <v>5.4960000000000004</v>
      </c>
      <c r="U69" s="58"/>
      <c r="V69" s="58"/>
      <c r="W69" s="44"/>
      <c r="X69" s="44"/>
      <c r="Y69" s="59"/>
      <c r="Z69" s="59"/>
    </row>
    <row r="70" spans="4:27" x14ac:dyDescent="0.25">
      <c r="D70" s="26" t="s">
        <v>17</v>
      </c>
      <c r="E70" s="7">
        <f>F8+F9</f>
        <v>790</v>
      </c>
      <c r="F70" s="4">
        <f t="shared" si="9"/>
        <v>2.74</v>
      </c>
      <c r="G70" s="7">
        <f t="shared" si="10"/>
        <v>2164.6000000000004</v>
      </c>
      <c r="O70" s="70" t="s">
        <v>17</v>
      </c>
      <c r="P70" s="64">
        <v>2.74</v>
      </c>
      <c r="S70" s="70" t="s">
        <v>17</v>
      </c>
      <c r="T70" s="66">
        <v>2.7360000000000002</v>
      </c>
      <c r="U70" s="58"/>
      <c r="V70" s="58"/>
      <c r="W70" s="44"/>
      <c r="X70" s="44"/>
      <c r="Y70" s="59"/>
      <c r="Z70" s="59"/>
    </row>
    <row r="71" spans="4:27" x14ac:dyDescent="0.25">
      <c r="D71" s="27" t="s">
        <v>13</v>
      </c>
      <c r="E71" s="14">
        <f>F11</f>
        <v>86.7</v>
      </c>
      <c r="F71" s="15">
        <f t="shared" si="9"/>
        <v>0.42</v>
      </c>
      <c r="G71" s="25">
        <f>E71*F71</f>
        <v>36.414000000000001</v>
      </c>
      <c r="O71" s="71" t="s">
        <v>13</v>
      </c>
      <c r="P71" s="65">
        <v>0.42</v>
      </c>
      <c r="S71" s="71" t="s">
        <v>13</v>
      </c>
      <c r="T71" s="67">
        <v>0.42</v>
      </c>
      <c r="U71" s="46"/>
      <c r="V71" s="46"/>
      <c r="W71" s="52"/>
      <c r="X71" s="52"/>
      <c r="Y71" s="15"/>
      <c r="Z71" s="15"/>
    </row>
    <row r="72" spans="4:27" x14ac:dyDescent="0.25">
      <c r="F72" s="32" t="s">
        <v>14</v>
      </c>
      <c r="G72" s="9">
        <f>SUM(G67:G71)</f>
        <v>2776.5552019230777</v>
      </c>
      <c r="P72" s="68"/>
    </row>
    <row r="73" spans="4:27" x14ac:dyDescent="0.25">
      <c r="F73" s="32"/>
      <c r="G73" s="9"/>
      <c r="O73" s="26"/>
      <c r="P73" s="26"/>
      <c r="T73" s="69" t="s">
        <v>75</v>
      </c>
      <c r="U73" s="69"/>
      <c r="V73" s="69"/>
      <c r="W73" s="57" t="s">
        <v>142</v>
      </c>
      <c r="X73" s="57"/>
      <c r="Y73" s="37" t="s">
        <v>143</v>
      </c>
      <c r="Z73" s="37"/>
    </row>
    <row r="74" spans="4:27" x14ac:dyDescent="0.25">
      <c r="T74" s="17" t="s">
        <v>135</v>
      </c>
      <c r="U74" s="16" t="s">
        <v>136</v>
      </c>
      <c r="V74" s="16" t="s">
        <v>137</v>
      </c>
      <c r="W74" s="16" t="s">
        <v>136</v>
      </c>
      <c r="X74" s="16" t="s">
        <v>137</v>
      </c>
      <c r="Y74" s="16" t="s">
        <v>136</v>
      </c>
      <c r="Z74" s="16" t="s">
        <v>137</v>
      </c>
    </row>
    <row r="75" spans="4:27" x14ac:dyDescent="0.25">
      <c r="D75" t="s">
        <v>75</v>
      </c>
      <c r="F75" s="18">
        <f>P75</f>
        <v>3.1E-2</v>
      </c>
      <c r="O75" s="50" t="s">
        <v>75</v>
      </c>
      <c r="P75" s="79">
        <v>3.1E-2</v>
      </c>
      <c r="S75" s="90" t="s">
        <v>75</v>
      </c>
      <c r="T75" s="80">
        <v>3.1E-2</v>
      </c>
      <c r="U75" s="81"/>
      <c r="V75" s="81"/>
      <c r="W75" s="56"/>
      <c r="X75" s="56"/>
      <c r="Y75" s="51"/>
      <c r="Z75" s="51"/>
    </row>
    <row r="76" spans="4:27" x14ac:dyDescent="0.25">
      <c r="F76" s="18"/>
      <c r="P76" s="18"/>
      <c r="Q76" s="74"/>
      <c r="R76" s="74"/>
      <c r="S76" s="74"/>
      <c r="T76" s="75"/>
      <c r="U76" s="76"/>
      <c r="V76" s="76"/>
      <c r="W76" s="77"/>
      <c r="X76" s="77"/>
      <c r="Y76" s="78"/>
      <c r="Z76" s="78"/>
      <c r="AA76" s="74"/>
    </row>
    <row r="77" spans="4:27" x14ac:dyDescent="0.25">
      <c r="T77" s="69" t="s">
        <v>70</v>
      </c>
      <c r="U77" s="69"/>
      <c r="V77" s="69"/>
      <c r="W77" s="57" t="s">
        <v>142</v>
      </c>
      <c r="X77" s="57"/>
      <c r="Y77" s="37" t="s">
        <v>143</v>
      </c>
      <c r="Z77" s="37"/>
    </row>
    <row r="78" spans="4:27" ht="15" customHeight="1" x14ac:dyDescent="0.25">
      <c r="D78" s="29" t="s">
        <v>69</v>
      </c>
      <c r="E78" s="16" t="s">
        <v>40</v>
      </c>
      <c r="F78" s="16" t="s">
        <v>70</v>
      </c>
      <c r="G78" s="17" t="s">
        <v>71</v>
      </c>
      <c r="H78" s="16" t="s">
        <v>73</v>
      </c>
      <c r="I78" s="17" t="s">
        <v>74</v>
      </c>
      <c r="O78" s="29" t="s">
        <v>69</v>
      </c>
      <c r="P78" s="16" t="s">
        <v>70</v>
      </c>
      <c r="S78" s="29" t="s">
        <v>69</v>
      </c>
      <c r="T78" s="17" t="s">
        <v>135</v>
      </c>
      <c r="U78" s="16" t="s">
        <v>136</v>
      </c>
      <c r="V78" s="16" t="s">
        <v>137</v>
      </c>
      <c r="W78" s="16" t="s">
        <v>136</v>
      </c>
      <c r="X78" s="16" t="s">
        <v>137</v>
      </c>
      <c r="Y78" s="16" t="s">
        <v>136</v>
      </c>
      <c r="Z78" s="16" t="s">
        <v>137</v>
      </c>
    </row>
    <row r="79" spans="4:27" x14ac:dyDescent="0.25">
      <c r="D79" s="1" t="s">
        <v>7</v>
      </c>
      <c r="E79" s="23">
        <f>E67+E68</f>
        <v>202.46394230769232</v>
      </c>
      <c r="F79" s="3">
        <f>P79</f>
        <v>25</v>
      </c>
      <c r="G79" s="7">
        <f>E79*F79</f>
        <v>5061.5985576923076</v>
      </c>
      <c r="H79" s="7">
        <f>G79*3.6</f>
        <v>18221.754807692309</v>
      </c>
      <c r="I79" s="7">
        <f>H79*$F$75</f>
        <v>564.87439903846155</v>
      </c>
      <c r="O79" s="1" t="s">
        <v>7</v>
      </c>
      <c r="P79" s="38">
        <v>25</v>
      </c>
      <c r="S79" s="1" t="s">
        <v>7</v>
      </c>
      <c r="T79" s="82">
        <v>25</v>
      </c>
      <c r="U79" s="85"/>
      <c r="V79" s="85"/>
      <c r="W79" s="87"/>
      <c r="X79" s="87"/>
      <c r="Y79" s="59"/>
      <c r="Z79" s="59"/>
    </row>
    <row r="80" spans="4:27" x14ac:dyDescent="0.25">
      <c r="D80" s="20" t="s">
        <v>72</v>
      </c>
      <c r="E80" s="14">
        <f>F20</f>
        <v>126</v>
      </c>
      <c r="F80" s="14">
        <f>P80</f>
        <v>35</v>
      </c>
      <c r="G80" s="14">
        <f>E80*F80</f>
        <v>4410</v>
      </c>
      <c r="H80" s="14">
        <f>G80*3.6</f>
        <v>15876</v>
      </c>
      <c r="I80" s="25">
        <f>H80*$F$75</f>
        <v>492.15600000000001</v>
      </c>
      <c r="O80" s="20" t="s">
        <v>72</v>
      </c>
      <c r="P80" s="39">
        <v>35</v>
      </c>
      <c r="S80" s="20" t="s">
        <v>72</v>
      </c>
      <c r="T80" s="83">
        <v>35</v>
      </c>
      <c r="U80" s="86"/>
      <c r="V80" s="86"/>
      <c r="W80" s="52"/>
      <c r="X80" s="52"/>
      <c r="Y80" s="15"/>
      <c r="Z80" s="15"/>
    </row>
    <row r="81" spans="4:26" x14ac:dyDescent="0.25">
      <c r="H81" s="32" t="s">
        <v>14</v>
      </c>
      <c r="I81" s="9">
        <f>SUM(I79:I80)</f>
        <v>1057.0303990384616</v>
      </c>
    </row>
    <row r="82" spans="4:26" ht="27.75" customHeight="1" x14ac:dyDescent="0.25">
      <c r="T82" s="69" t="s">
        <v>77</v>
      </c>
      <c r="U82" s="69"/>
      <c r="V82" s="69"/>
      <c r="W82" s="57" t="s">
        <v>142</v>
      </c>
      <c r="X82" s="57"/>
      <c r="Y82" s="37" t="s">
        <v>143</v>
      </c>
      <c r="Z82" s="37"/>
    </row>
    <row r="83" spans="4:26" ht="45" x14ac:dyDescent="0.25">
      <c r="D83" s="29" t="s">
        <v>21</v>
      </c>
      <c r="E83" s="12" t="s">
        <v>77</v>
      </c>
      <c r="F83" s="12" t="s">
        <v>81</v>
      </c>
      <c r="G83" s="12" t="s">
        <v>82</v>
      </c>
      <c r="H83" s="12" t="s">
        <v>83</v>
      </c>
      <c r="O83" s="29" t="s">
        <v>21</v>
      </c>
      <c r="P83" s="16" t="s">
        <v>77</v>
      </c>
      <c r="S83" s="29" t="s">
        <v>21</v>
      </c>
      <c r="T83" s="17" t="s">
        <v>135</v>
      </c>
      <c r="U83" s="16" t="s">
        <v>136</v>
      </c>
      <c r="V83" s="16" t="s">
        <v>137</v>
      </c>
      <c r="W83" s="16" t="s">
        <v>136</v>
      </c>
      <c r="X83" s="16" t="s">
        <v>137</v>
      </c>
      <c r="Y83" s="16" t="s">
        <v>136</v>
      </c>
      <c r="Z83" s="16" t="s">
        <v>137</v>
      </c>
    </row>
    <row r="84" spans="4:26" x14ac:dyDescent="0.25">
      <c r="D84" s="1" t="s">
        <v>0</v>
      </c>
      <c r="E84" s="6">
        <f>P84</f>
        <v>0.02</v>
      </c>
      <c r="F84" s="3">
        <f>P89</f>
        <v>0.90900000000000003</v>
      </c>
      <c r="O84" s="1" t="s">
        <v>0</v>
      </c>
      <c r="P84" s="88">
        <v>0.02</v>
      </c>
      <c r="S84" s="1" t="s">
        <v>0</v>
      </c>
      <c r="T84" s="73">
        <v>0.02</v>
      </c>
      <c r="U84" s="72"/>
      <c r="V84" s="72"/>
      <c r="W84" s="44"/>
      <c r="X84" s="44"/>
      <c r="Y84" s="59"/>
      <c r="Z84" s="59"/>
    </row>
    <row r="85" spans="4:26" x14ac:dyDescent="0.25">
      <c r="D85" s="1" t="s">
        <v>28</v>
      </c>
      <c r="E85" s="3">
        <f>1-E41</f>
        <v>0.16800000000000004</v>
      </c>
      <c r="F85" s="3">
        <f>P90</f>
        <v>0.878</v>
      </c>
      <c r="O85" s="20" t="s">
        <v>28</v>
      </c>
      <c r="P85" s="39">
        <f>1-P41</f>
        <v>0.16800000000000004</v>
      </c>
      <c r="S85" s="20" t="s">
        <v>28</v>
      </c>
      <c r="T85" s="83">
        <f>1-T41</f>
        <v>0.16800000000000004</v>
      </c>
      <c r="U85" s="46"/>
      <c r="V85" s="46"/>
      <c r="W85" s="52"/>
      <c r="X85" s="52"/>
      <c r="Y85" s="47"/>
      <c r="Z85" s="47"/>
    </row>
    <row r="86" spans="4:26" x14ac:dyDescent="0.25">
      <c r="D86" s="1" t="s">
        <v>13</v>
      </c>
      <c r="F86" s="3">
        <v>4.1820000000000004</v>
      </c>
      <c r="G86" s="3">
        <v>2257</v>
      </c>
      <c r="H86" s="3">
        <v>100</v>
      </c>
    </row>
    <row r="87" spans="4:26" ht="30" customHeight="1" x14ac:dyDescent="0.25">
      <c r="D87" s="1"/>
      <c r="F87" s="3"/>
      <c r="G87" s="3"/>
      <c r="H87" s="3"/>
      <c r="T87" s="69" t="s">
        <v>81</v>
      </c>
      <c r="U87" s="69"/>
      <c r="V87" s="69"/>
      <c r="W87" s="57" t="s">
        <v>142</v>
      </c>
      <c r="X87" s="57"/>
      <c r="Y87" s="37" t="s">
        <v>143</v>
      </c>
      <c r="Z87" s="37"/>
    </row>
    <row r="88" spans="4:26" ht="30" x14ac:dyDescent="0.25">
      <c r="D88" s="1" t="s">
        <v>84</v>
      </c>
      <c r="E88" s="3">
        <f>P94</f>
        <v>25</v>
      </c>
      <c r="H88" s="1" t="s">
        <v>91</v>
      </c>
      <c r="I88" s="3">
        <f>P97</f>
        <v>30</v>
      </c>
      <c r="O88" s="29" t="s">
        <v>21</v>
      </c>
      <c r="P88" s="12" t="s">
        <v>81</v>
      </c>
      <c r="S88" s="29" t="s">
        <v>21</v>
      </c>
      <c r="T88" s="17" t="s">
        <v>135</v>
      </c>
      <c r="U88" s="16" t="s">
        <v>136</v>
      </c>
      <c r="V88" s="16" t="s">
        <v>137</v>
      </c>
      <c r="W88" s="16" t="s">
        <v>136</v>
      </c>
      <c r="X88" s="16" t="s">
        <v>137</v>
      </c>
      <c r="Y88" s="16" t="s">
        <v>136</v>
      </c>
      <c r="Z88" s="16" t="s">
        <v>137</v>
      </c>
    </row>
    <row r="89" spans="4:26" ht="18" x14ac:dyDescent="0.35">
      <c r="D89" s="1" t="s">
        <v>85</v>
      </c>
      <c r="E89" s="3">
        <f>P95</f>
        <v>800</v>
      </c>
      <c r="H89" s="1" t="s">
        <v>94</v>
      </c>
      <c r="I89" s="3">
        <f>P98</f>
        <v>3.32</v>
      </c>
      <c r="O89" s="1" t="s">
        <v>0</v>
      </c>
      <c r="P89" s="38">
        <v>0.90900000000000003</v>
      </c>
      <c r="S89" s="1" t="s">
        <v>0</v>
      </c>
      <c r="T89" s="73">
        <v>0.90900000000000003</v>
      </c>
      <c r="U89" s="72"/>
      <c r="V89" s="72"/>
      <c r="W89" s="44"/>
      <c r="X89" s="44"/>
      <c r="Y89" s="59"/>
      <c r="Z89" s="59"/>
    </row>
    <row r="90" spans="4:26" x14ac:dyDescent="0.25">
      <c r="D90" s="1" t="s">
        <v>86</v>
      </c>
      <c r="E90" s="3">
        <f>P96</f>
        <v>0.8</v>
      </c>
      <c r="O90" s="20" t="s">
        <v>28</v>
      </c>
      <c r="P90" s="39">
        <v>0.878</v>
      </c>
      <c r="S90" s="20" t="s">
        <v>28</v>
      </c>
      <c r="T90" s="83">
        <v>0.878</v>
      </c>
      <c r="U90" s="84"/>
      <c r="V90" s="84"/>
      <c r="W90" s="52"/>
      <c r="X90" s="52"/>
      <c r="Y90" s="15"/>
      <c r="Z90" s="15"/>
    </row>
    <row r="91" spans="4:26" x14ac:dyDescent="0.25">
      <c r="D91" s="1"/>
      <c r="E91" s="3"/>
      <c r="T91" s="18"/>
      <c r="U91" s="78"/>
      <c r="V91" s="78"/>
      <c r="W91" s="89"/>
      <c r="X91" s="89"/>
      <c r="Y91" s="89"/>
      <c r="Z91" s="89"/>
    </row>
    <row r="92" spans="4:26" ht="30" x14ac:dyDescent="0.25">
      <c r="D92" s="29" t="s">
        <v>76</v>
      </c>
      <c r="E92" s="12" t="s">
        <v>78</v>
      </c>
      <c r="F92" s="12" t="s">
        <v>79</v>
      </c>
      <c r="G92" s="12" t="s">
        <v>80</v>
      </c>
      <c r="H92" s="12" t="s">
        <v>87</v>
      </c>
      <c r="I92" s="12" t="s">
        <v>88</v>
      </c>
      <c r="J92" s="12" t="s">
        <v>89</v>
      </c>
      <c r="T92" s="69" t="s">
        <v>153</v>
      </c>
      <c r="U92" s="69"/>
      <c r="V92" s="69"/>
      <c r="W92" s="57" t="s">
        <v>142</v>
      </c>
      <c r="X92" s="57"/>
      <c r="Y92" s="37" t="s">
        <v>143</v>
      </c>
      <c r="Z92" s="37"/>
    </row>
    <row r="93" spans="4:26" x14ac:dyDescent="0.25">
      <c r="D93" s="1" t="s">
        <v>0</v>
      </c>
      <c r="E93" s="7">
        <f>E67</f>
        <v>157.03125</v>
      </c>
      <c r="F93" s="7">
        <f>E93-G93</f>
        <v>153.890625</v>
      </c>
      <c r="G93" s="4">
        <f>E93*E84</f>
        <v>3.140625</v>
      </c>
      <c r="H93" s="7">
        <f>(G93*1000*(($F$86*($H$86-$E$88))+($G$86)))/1000</f>
        <v>8073.4476562500004</v>
      </c>
      <c r="I93" s="7">
        <f>(($E$89-$E$88)*F84*F93*1000)/1000</f>
        <v>108412.09804687501</v>
      </c>
      <c r="J93" s="7">
        <f>H93+I93</f>
        <v>116485.54570312501</v>
      </c>
      <c r="O93" s="29" t="s">
        <v>156</v>
      </c>
      <c r="P93" s="16" t="s">
        <v>153</v>
      </c>
      <c r="S93" s="29" t="s">
        <v>156</v>
      </c>
      <c r="T93" s="17" t="s">
        <v>135</v>
      </c>
      <c r="U93" s="16" t="s">
        <v>136</v>
      </c>
      <c r="V93" s="16" t="s">
        <v>137</v>
      </c>
      <c r="W93" s="16" t="s">
        <v>136</v>
      </c>
      <c r="X93" s="16" t="s">
        <v>137</v>
      </c>
      <c r="Y93" s="16" t="s">
        <v>136</v>
      </c>
      <c r="Z93" s="16" t="s">
        <v>137</v>
      </c>
    </row>
    <row r="94" spans="4:26" x14ac:dyDescent="0.25">
      <c r="D94" s="20" t="s">
        <v>28</v>
      </c>
      <c r="E94" s="47">
        <f>E68</f>
        <v>45.432692307692307</v>
      </c>
      <c r="F94" s="14">
        <f>E94-G94</f>
        <v>37.799999999999997</v>
      </c>
      <c r="G94" s="15">
        <f>E94*E85</f>
        <v>7.6326923076923094</v>
      </c>
      <c r="H94" s="25">
        <f>(G94*1000*(($F$86*($H$86-$E$88))+($G$86)))/1000</f>
        <v>19620.980480769234</v>
      </c>
      <c r="I94" s="25">
        <f>(($E$89-$E$88)*F85*F94*1000)/1000</f>
        <v>25721.01</v>
      </c>
      <c r="J94" s="25">
        <f>H94+I94</f>
        <v>45341.990480769236</v>
      </c>
      <c r="O94" s="1" t="s">
        <v>154</v>
      </c>
      <c r="P94" s="38">
        <v>25</v>
      </c>
      <c r="S94" s="1" t="s">
        <v>154</v>
      </c>
      <c r="T94" s="41">
        <v>25</v>
      </c>
      <c r="U94" s="85"/>
      <c r="V94" s="85"/>
      <c r="W94" s="44"/>
      <c r="X94" s="44"/>
      <c r="Y94" s="59"/>
      <c r="Z94" s="59"/>
    </row>
    <row r="95" spans="4:26" x14ac:dyDescent="0.25">
      <c r="D95" s="1"/>
      <c r="I95" s="28" t="s">
        <v>89</v>
      </c>
      <c r="J95" s="7">
        <f>SUM(J93:J94)</f>
        <v>161827.53618389426</v>
      </c>
      <c r="O95" s="1" t="s">
        <v>155</v>
      </c>
      <c r="P95" s="38">
        <v>800</v>
      </c>
      <c r="S95" s="1" t="s">
        <v>155</v>
      </c>
      <c r="T95" s="41">
        <v>800</v>
      </c>
      <c r="U95" s="60"/>
      <c r="V95" s="60"/>
      <c r="W95" s="44"/>
      <c r="X95" s="44"/>
      <c r="Y95" s="59"/>
      <c r="Z95" s="59"/>
    </row>
    <row r="96" spans="4:26" x14ac:dyDescent="0.25">
      <c r="I96" s="28" t="s">
        <v>90</v>
      </c>
      <c r="J96" s="7">
        <f>J95/E90</f>
        <v>202284.42022986783</v>
      </c>
      <c r="O96" s="1" t="s">
        <v>86</v>
      </c>
      <c r="P96" s="38">
        <v>0.8</v>
      </c>
      <c r="S96" s="1" t="s">
        <v>86</v>
      </c>
      <c r="T96" s="41">
        <v>0.8</v>
      </c>
      <c r="U96" s="58"/>
      <c r="V96" s="58"/>
      <c r="W96" s="44"/>
      <c r="X96" s="44"/>
      <c r="Y96" s="59"/>
      <c r="Z96" s="59"/>
    </row>
    <row r="97" spans="4:26" x14ac:dyDescent="0.25">
      <c r="I97" s="28" t="s">
        <v>92</v>
      </c>
      <c r="J97" s="7">
        <f>(J96/I88)</f>
        <v>6742.8140076622612</v>
      </c>
      <c r="O97" s="1" t="s">
        <v>91</v>
      </c>
      <c r="P97" s="38">
        <v>30</v>
      </c>
      <c r="S97" s="1" t="s">
        <v>91</v>
      </c>
      <c r="T97" s="41">
        <v>30</v>
      </c>
      <c r="U97" s="60"/>
      <c r="V97" s="60"/>
      <c r="W97" s="44"/>
      <c r="X97" s="44"/>
      <c r="Y97" s="59"/>
      <c r="Z97" s="59"/>
    </row>
    <row r="98" spans="4:26" ht="18" x14ac:dyDescent="0.35">
      <c r="I98" s="28" t="s">
        <v>95</v>
      </c>
      <c r="J98" s="7">
        <f>J97*I89</f>
        <v>22386.142505438707</v>
      </c>
      <c r="O98" s="1" t="s">
        <v>94</v>
      </c>
      <c r="P98" s="38">
        <v>3.32</v>
      </c>
      <c r="S98" s="1" t="s">
        <v>94</v>
      </c>
      <c r="T98" s="41">
        <v>3.32</v>
      </c>
      <c r="U98" s="58"/>
      <c r="V98" s="58"/>
      <c r="W98" s="44"/>
      <c r="X98" s="44"/>
      <c r="Y98" s="59"/>
      <c r="Z98" s="59"/>
    </row>
    <row r="99" spans="4:26" x14ac:dyDescent="0.25">
      <c r="O99" s="20" t="s">
        <v>152</v>
      </c>
      <c r="P99" s="39">
        <v>4.5</v>
      </c>
      <c r="S99" s="20" t="s">
        <v>152</v>
      </c>
      <c r="T99" s="42">
        <v>4.5</v>
      </c>
      <c r="U99" s="46"/>
      <c r="V99" s="46"/>
      <c r="W99" s="52"/>
      <c r="X99" s="52"/>
      <c r="Y99" s="15"/>
      <c r="Z99" s="15"/>
    </row>
    <row r="100" spans="4:26" x14ac:dyDescent="0.25">
      <c r="E100" s="36" t="s">
        <v>15</v>
      </c>
      <c r="F100" s="36"/>
      <c r="G100" s="36"/>
    </row>
    <row r="101" spans="4:26" x14ac:dyDescent="0.25">
      <c r="E101" s="16" t="s">
        <v>104</v>
      </c>
      <c r="F101" s="16" t="s">
        <v>97</v>
      </c>
      <c r="G101" s="16" t="s">
        <v>98</v>
      </c>
    </row>
    <row r="102" spans="4:26" x14ac:dyDescent="0.25">
      <c r="E102" s="23">
        <f>F93</f>
        <v>153.890625</v>
      </c>
      <c r="F102" s="23">
        <f>E102*E33</f>
        <v>86.178750000000008</v>
      </c>
      <c r="G102" s="23">
        <f>E102*(1-E27)</f>
        <v>67.711874999999992</v>
      </c>
    </row>
    <row r="106" spans="4:26" x14ac:dyDescent="0.25">
      <c r="E106" s="1" t="s">
        <v>91</v>
      </c>
      <c r="F106" s="3">
        <f>I88</f>
        <v>30</v>
      </c>
    </row>
    <row r="107" spans="4:26" ht="18" x14ac:dyDescent="0.35">
      <c r="E107" s="1" t="s">
        <v>94</v>
      </c>
      <c r="F107" s="3">
        <f>I89</f>
        <v>3.32</v>
      </c>
    </row>
    <row r="109" spans="4:26" x14ac:dyDescent="0.25">
      <c r="D109" s="32" t="s">
        <v>99</v>
      </c>
    </row>
    <row r="110" spans="4:26" ht="30" x14ac:dyDescent="0.25">
      <c r="D110" s="12" t="s">
        <v>100</v>
      </c>
      <c r="E110" s="12" t="s">
        <v>101</v>
      </c>
      <c r="F110" s="12" t="s">
        <v>102</v>
      </c>
      <c r="G110" s="12" t="s">
        <v>93</v>
      </c>
      <c r="H110" s="12" t="s">
        <v>103</v>
      </c>
    </row>
    <row r="111" spans="4:26" x14ac:dyDescent="0.25">
      <c r="D111" s="23">
        <f>F93+F94</f>
        <v>191.69062500000001</v>
      </c>
      <c r="E111" s="3">
        <f>P99</f>
        <v>4.5</v>
      </c>
      <c r="F111" s="7">
        <f>D111*1000*E111</f>
        <v>862607.8125</v>
      </c>
      <c r="G111" s="7">
        <f>F111/F106/1000</f>
        <v>28.75359375</v>
      </c>
      <c r="H111" s="23">
        <f>G111*F107</f>
        <v>95.461931249999992</v>
      </c>
    </row>
    <row r="115" spans="4:7" ht="34.5" x14ac:dyDescent="0.35">
      <c r="D115" s="29" t="s">
        <v>20</v>
      </c>
      <c r="E115" s="12" t="s">
        <v>95</v>
      </c>
      <c r="F115" s="12" t="s">
        <v>109</v>
      </c>
      <c r="G115" s="16" t="s">
        <v>110</v>
      </c>
    </row>
    <row r="116" spans="4:7" x14ac:dyDescent="0.25">
      <c r="D116" s="30" t="s">
        <v>105</v>
      </c>
      <c r="E116" s="7">
        <f>G72</f>
        <v>2776.5552019230777</v>
      </c>
      <c r="F116" s="23">
        <f>E116/$E$4</f>
        <v>2.7765552019230775</v>
      </c>
      <c r="G116" s="23">
        <f>(F116/$F$122)*100</f>
        <v>1.4401058557416249</v>
      </c>
    </row>
    <row r="117" spans="4:7" x14ac:dyDescent="0.25">
      <c r="D117" s="1" t="s">
        <v>106</v>
      </c>
      <c r="E117" s="7">
        <f>L61</f>
        <v>3408.6260440384613</v>
      </c>
      <c r="F117" s="23">
        <f t="shared" ref="F117:F122" si="11">E117/$E$4</f>
        <v>3.4086260440384613</v>
      </c>
      <c r="G117" s="23">
        <f t="shared" ref="G117:G121" si="12">(F117/$F$122)*100</f>
        <v>1.7679397559440966</v>
      </c>
    </row>
    <row r="118" spans="4:7" x14ac:dyDescent="0.25">
      <c r="D118" s="1" t="s">
        <v>107</v>
      </c>
      <c r="E118" s="7">
        <f>I79</f>
        <v>564.87439903846155</v>
      </c>
      <c r="F118" s="23">
        <f t="shared" si="11"/>
        <v>0.56487439903846159</v>
      </c>
      <c r="G118" s="23">
        <f t="shared" si="12"/>
        <v>0.29298136383184242</v>
      </c>
    </row>
    <row r="119" spans="4:7" x14ac:dyDescent="0.25">
      <c r="D119" s="1" t="s">
        <v>76</v>
      </c>
      <c r="E119" s="7">
        <f>J98</f>
        <v>22386.142505438707</v>
      </c>
      <c r="F119" s="23">
        <f t="shared" si="11"/>
        <v>22.386142505438706</v>
      </c>
      <c r="G119" s="23">
        <f t="shared" si="12"/>
        <v>11.610939659049469</v>
      </c>
    </row>
    <row r="120" spans="4:7" x14ac:dyDescent="0.25">
      <c r="D120" s="1" t="s">
        <v>96</v>
      </c>
      <c r="E120" s="7">
        <f>(G102+H111)*1000</f>
        <v>163173.80624999999</v>
      </c>
      <c r="F120" s="23">
        <f t="shared" si="11"/>
        <v>163.17380624999998</v>
      </c>
      <c r="G120" s="23">
        <f t="shared" si="12"/>
        <v>84.632768590921202</v>
      </c>
    </row>
    <row r="121" spans="4:7" x14ac:dyDescent="0.25">
      <c r="D121" s="1" t="s">
        <v>108</v>
      </c>
      <c r="E121" s="7">
        <f>I80</f>
        <v>492.15600000000001</v>
      </c>
      <c r="F121" s="23">
        <f t="shared" si="11"/>
        <v>0.49215599999999998</v>
      </c>
      <c r="G121" s="23">
        <f t="shared" si="12"/>
        <v>0.25526477451176954</v>
      </c>
    </row>
    <row r="122" spans="4:7" x14ac:dyDescent="0.25">
      <c r="D122" s="1" t="s">
        <v>14</v>
      </c>
      <c r="E122" s="7">
        <f>SUM(E116:E121)</f>
        <v>192802.16040043868</v>
      </c>
      <c r="F122" s="23">
        <f t="shared" si="11"/>
        <v>192.80216040043868</v>
      </c>
    </row>
    <row r="125" spans="4:7" x14ac:dyDescent="0.25">
      <c r="D125" s="1" t="s">
        <v>118</v>
      </c>
      <c r="E125" s="7">
        <f>G111+(J97/1000)</f>
        <v>35.496407757662261</v>
      </c>
    </row>
    <row r="126" spans="4:7" x14ac:dyDescent="0.25">
      <c r="D126" s="1" t="s">
        <v>117</v>
      </c>
      <c r="E126" s="7">
        <f>292*1.46</f>
        <v>426.32</v>
      </c>
    </row>
    <row r="127" spans="4:7" x14ac:dyDescent="0.25">
      <c r="D127" s="1" t="s">
        <v>119</v>
      </c>
      <c r="E127" s="7">
        <f>E125*E126</f>
        <v>15132.828555246575</v>
      </c>
    </row>
    <row r="128" spans="4:7" x14ac:dyDescent="0.25">
      <c r="D128" s="1" t="s">
        <v>121</v>
      </c>
      <c r="E128" s="3">
        <v>75</v>
      </c>
    </row>
    <row r="129" spans="4:5" x14ac:dyDescent="0.25">
      <c r="D129" s="1" t="s">
        <v>122</v>
      </c>
      <c r="E129" s="3">
        <v>2</v>
      </c>
    </row>
    <row r="130" spans="4:5" x14ac:dyDescent="0.25">
      <c r="D130" s="1" t="s">
        <v>123</v>
      </c>
      <c r="E130" s="23">
        <f>(E122/1000)/E129</f>
        <v>96.40108020021934</v>
      </c>
    </row>
    <row r="131" spans="4:5" x14ac:dyDescent="0.25">
      <c r="D131" s="1" t="s">
        <v>124</v>
      </c>
      <c r="E131" s="7">
        <f>E128*E130</f>
        <v>7230.0810150164507</v>
      </c>
    </row>
    <row r="133" spans="4:5" x14ac:dyDescent="0.25">
      <c r="D133" s="1" t="s">
        <v>125</v>
      </c>
      <c r="E133" s="7">
        <f>E127+E131</f>
        <v>22362.909570263026</v>
      </c>
    </row>
    <row r="134" spans="4:5" x14ac:dyDescent="0.25">
      <c r="D134" s="1" t="s">
        <v>126</v>
      </c>
      <c r="E134" s="7">
        <f>E133/1000</f>
        <v>22.362909570263025</v>
      </c>
    </row>
    <row r="136" spans="4:5" x14ac:dyDescent="0.25">
      <c r="D136" t="s">
        <v>120</v>
      </c>
    </row>
  </sheetData>
  <mergeCells count="40">
    <mergeCell ref="E100:G100"/>
    <mergeCell ref="T87:V87"/>
    <mergeCell ref="W87:X87"/>
    <mergeCell ref="Y87:Z87"/>
    <mergeCell ref="T92:V92"/>
    <mergeCell ref="W92:X92"/>
    <mergeCell ref="Y92:Z92"/>
    <mergeCell ref="T77:V77"/>
    <mergeCell ref="W77:X77"/>
    <mergeCell ref="Y77:Z77"/>
    <mergeCell ref="T82:V82"/>
    <mergeCell ref="W82:X82"/>
    <mergeCell ref="Y82:Z82"/>
    <mergeCell ref="T65:V65"/>
    <mergeCell ref="W65:X65"/>
    <mergeCell ref="Y65:Z65"/>
    <mergeCell ref="T73:V73"/>
    <mergeCell ref="W73:X73"/>
    <mergeCell ref="Y73:Z73"/>
    <mergeCell ref="T44:V44"/>
    <mergeCell ref="W44:X44"/>
    <mergeCell ref="Y44:Z44"/>
    <mergeCell ref="J52:K52"/>
    <mergeCell ref="T52:V52"/>
    <mergeCell ref="W52:X52"/>
    <mergeCell ref="Y52:Z52"/>
    <mergeCell ref="T31:V31"/>
    <mergeCell ref="W31:X31"/>
    <mergeCell ref="Y31:Z31"/>
    <mergeCell ref="T39:V39"/>
    <mergeCell ref="W39:X39"/>
    <mergeCell ref="Y39:Z39"/>
    <mergeCell ref="P5:Q5"/>
    <mergeCell ref="T5:V5"/>
    <mergeCell ref="W5:X5"/>
    <mergeCell ref="Y5:Z5"/>
    <mergeCell ref="P15:Q15"/>
    <mergeCell ref="T15:V15"/>
    <mergeCell ref="W15:X15"/>
    <mergeCell ref="Y15:Z1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81000-926D-4A23-9F55-747830E4A26C}">
  <dimension ref="C2:AC136"/>
  <sheetViews>
    <sheetView tabSelected="1" workbookViewId="0">
      <pane ySplit="1200" activePane="bottomLeft"/>
      <selection activeCell="S1" sqref="S1:S1048576"/>
      <selection pane="bottomLeft" activeCell="J3" sqref="J3"/>
    </sheetView>
  </sheetViews>
  <sheetFormatPr defaultRowHeight="15" x14ac:dyDescent="0.25"/>
  <cols>
    <col min="4" max="4" width="23.28515625" customWidth="1"/>
    <col min="5" max="5" width="27.28515625" customWidth="1"/>
    <col min="6" max="6" width="22.140625" customWidth="1"/>
    <col min="7" max="7" width="13.85546875" customWidth="1"/>
    <col min="8" max="9" width="17.42578125" customWidth="1"/>
    <col min="10" max="10" width="18.42578125" customWidth="1"/>
    <col min="11" max="11" width="14.7109375" customWidth="1"/>
    <col min="15" max="15" width="39.7109375" customWidth="1"/>
    <col min="16" max="16" width="19" customWidth="1"/>
    <col min="17" max="17" width="13.140625" customWidth="1"/>
    <col min="19" max="19" width="41.42578125" customWidth="1"/>
  </cols>
  <sheetData>
    <row r="2" spans="4:29" x14ac:dyDescent="0.25">
      <c r="D2" s="2" t="s">
        <v>111</v>
      </c>
      <c r="O2" t="s">
        <v>140</v>
      </c>
      <c r="R2" s="33">
        <v>192.8</v>
      </c>
      <c r="S2" s="33"/>
      <c r="Y2" s="1" t="s">
        <v>141</v>
      </c>
      <c r="Z2" s="34">
        <f>F122</f>
        <v>192.80216040043868</v>
      </c>
    </row>
    <row r="3" spans="4:29" x14ac:dyDescent="0.25">
      <c r="T3" s="1" t="s">
        <v>138</v>
      </c>
      <c r="U3" s="3">
        <v>10</v>
      </c>
    </row>
    <row r="4" spans="4:29" x14ac:dyDescent="0.25">
      <c r="D4" s="31" t="s">
        <v>39</v>
      </c>
      <c r="E4" s="31">
        <v>1000</v>
      </c>
    </row>
    <row r="5" spans="4:29" ht="75" customHeight="1" x14ac:dyDescent="0.25">
      <c r="P5" s="35" t="s">
        <v>130</v>
      </c>
      <c r="Q5" s="35"/>
      <c r="T5" s="37" t="s">
        <v>139</v>
      </c>
      <c r="U5" s="37"/>
      <c r="V5" s="37"/>
      <c r="W5" s="37" t="s">
        <v>142</v>
      </c>
      <c r="X5" s="37"/>
      <c r="Y5" s="37" t="s">
        <v>143</v>
      </c>
      <c r="Z5" s="37"/>
    </row>
    <row r="6" spans="4:29" x14ac:dyDescent="0.25">
      <c r="D6" s="31" t="s">
        <v>22</v>
      </c>
      <c r="E6" s="31" t="s">
        <v>38</v>
      </c>
      <c r="F6" s="31" t="s">
        <v>40</v>
      </c>
      <c r="O6" s="29" t="s">
        <v>22</v>
      </c>
      <c r="P6" s="16" t="s">
        <v>134</v>
      </c>
      <c r="Q6" s="17" t="s">
        <v>132</v>
      </c>
      <c r="S6" s="29" t="s">
        <v>22</v>
      </c>
      <c r="T6" s="17" t="s">
        <v>135</v>
      </c>
      <c r="U6" s="16" t="s">
        <v>136</v>
      </c>
      <c r="V6" s="16" t="s">
        <v>137</v>
      </c>
      <c r="W6" s="16" t="s">
        <v>136</v>
      </c>
      <c r="X6" s="16" t="s">
        <v>137</v>
      </c>
      <c r="Y6" s="16" t="s">
        <v>136</v>
      </c>
      <c r="Z6" s="16" t="s">
        <v>137</v>
      </c>
    </row>
    <row r="7" spans="4:29" x14ac:dyDescent="0.25">
      <c r="D7" s="3" t="s">
        <v>11</v>
      </c>
      <c r="E7" s="7">
        <f>Q7*$E$12</f>
        <v>126</v>
      </c>
      <c r="F7" s="7">
        <f>E7*$E$4/1000</f>
        <v>126</v>
      </c>
      <c r="O7" s="1" t="s">
        <v>11</v>
      </c>
      <c r="P7" s="38">
        <v>126</v>
      </c>
      <c r="Q7" s="6">
        <f>P7/$P$12</f>
        <v>0.12557930931379876</v>
      </c>
      <c r="S7" s="1" t="s">
        <v>11</v>
      </c>
      <c r="T7" s="41">
        <v>126</v>
      </c>
      <c r="U7" s="40">
        <f>T7*(1-($U$3/100))</f>
        <v>113.4</v>
      </c>
      <c r="V7" s="40">
        <f>T7*(1+($U$3/100))</f>
        <v>138.60000000000002</v>
      </c>
      <c r="W7" s="44">
        <v>176.03518114538318</v>
      </c>
      <c r="X7" s="44">
        <v>209.1454042904968</v>
      </c>
      <c r="Y7" s="4">
        <f>((W7-$R$2)/$R$2)*100</f>
        <v>-8.6954454640128791</v>
      </c>
      <c r="Z7" s="4">
        <f>((X7-$R$2)/$R$2)*100</f>
        <v>8.4779067896767568</v>
      </c>
      <c r="AB7" s="3"/>
      <c r="AC7" s="3"/>
    </row>
    <row r="8" spans="4:29" x14ac:dyDescent="0.25">
      <c r="D8" s="3" t="s">
        <v>12</v>
      </c>
      <c r="E8" s="7">
        <f>Q8*$E$12</f>
        <v>321</v>
      </c>
      <c r="F8" s="7">
        <f t="shared" ref="F8:F11" si="0">E8*$E$4/1000</f>
        <v>321</v>
      </c>
      <c r="O8" s="1" t="s">
        <v>12</v>
      </c>
      <c r="P8" s="38">
        <v>321</v>
      </c>
      <c r="Q8" s="6">
        <f>P8/$P$12</f>
        <v>0.31992824039467782</v>
      </c>
      <c r="S8" s="1" t="s">
        <v>12</v>
      </c>
      <c r="T8" s="41">
        <v>321</v>
      </c>
      <c r="U8" s="40">
        <f t="shared" ref="U8:U11" si="1">T8*(1-($U$3/100))</f>
        <v>288.90000000000003</v>
      </c>
      <c r="V8" s="40">
        <f t="shared" ref="V8:V11" si="2">T8*(1+($U$3/100))</f>
        <v>353.1</v>
      </c>
      <c r="W8" s="44">
        <v>199.04321837742788</v>
      </c>
      <c r="X8" s="44">
        <v>186.94036733752648</v>
      </c>
      <c r="Y8" s="4">
        <f t="shared" ref="Y8:Y11" si="3">((W8-$R$2)/$R$2)*100</f>
        <v>3.2381838057198471</v>
      </c>
      <c r="Z8" s="4">
        <f t="shared" ref="Z8:Z11" si="4">((X8-$R$2)/$R$2)*100</f>
        <v>-3.0392285593742372</v>
      </c>
    </row>
    <row r="9" spans="4:29" x14ac:dyDescent="0.25">
      <c r="D9" s="3" t="s">
        <v>3</v>
      </c>
      <c r="E9" s="7">
        <f>Q9*$E$12</f>
        <v>469</v>
      </c>
      <c r="F9" s="7">
        <f t="shared" si="0"/>
        <v>469</v>
      </c>
      <c r="O9" s="1" t="s">
        <v>3</v>
      </c>
      <c r="P9" s="38">
        <v>469</v>
      </c>
      <c r="Q9" s="6">
        <f>P9/$P$12</f>
        <v>0.46743409577913986</v>
      </c>
      <c r="S9" s="1" t="s">
        <v>3</v>
      </c>
      <c r="T9" s="41">
        <v>469</v>
      </c>
      <c r="U9" s="40">
        <f t="shared" si="1"/>
        <v>422.1</v>
      </c>
      <c r="V9" s="40">
        <f t="shared" si="2"/>
        <v>515.90000000000009</v>
      </c>
      <c r="W9" s="44">
        <v>202.06373504361628</v>
      </c>
      <c r="X9" s="44">
        <v>184.36017122232974</v>
      </c>
      <c r="Y9" s="4">
        <f t="shared" si="3"/>
        <v>4.8048418276017966</v>
      </c>
      <c r="Z9" s="4">
        <f t="shared" si="4"/>
        <v>-4.3775045527335434</v>
      </c>
    </row>
    <row r="10" spans="4:29" x14ac:dyDescent="0.25">
      <c r="D10" s="3" t="s">
        <v>2</v>
      </c>
      <c r="E10" s="4">
        <f>Q10*$E$12</f>
        <v>0.65</v>
      </c>
      <c r="F10" s="4">
        <f t="shared" si="0"/>
        <v>0.65</v>
      </c>
      <c r="O10" s="1" t="s">
        <v>2</v>
      </c>
      <c r="P10" s="38">
        <v>0.65</v>
      </c>
      <c r="Q10" s="6">
        <f>P10/$P$12</f>
        <v>6.4782977026959685E-4</v>
      </c>
      <c r="S10" s="1" t="s">
        <v>2</v>
      </c>
      <c r="T10" s="41">
        <v>0.65</v>
      </c>
      <c r="U10" s="40">
        <f t="shared" si="1"/>
        <v>0.58500000000000008</v>
      </c>
      <c r="V10" s="40">
        <f t="shared" si="2"/>
        <v>0.71500000000000008</v>
      </c>
      <c r="W10" s="44"/>
      <c r="X10" s="44"/>
      <c r="Y10" s="4"/>
      <c r="Z10" s="4"/>
    </row>
    <row r="11" spans="4:29" x14ac:dyDescent="0.25">
      <c r="D11" s="3" t="s">
        <v>13</v>
      </c>
      <c r="E11" s="7">
        <f>Q11*$E$12</f>
        <v>86.7</v>
      </c>
      <c r="F11" s="7">
        <f t="shared" si="0"/>
        <v>86.7</v>
      </c>
      <c r="O11" s="20" t="s">
        <v>13</v>
      </c>
      <c r="P11" s="39">
        <v>86.7</v>
      </c>
      <c r="Q11" s="53">
        <f>P11/$P$12</f>
        <v>8.6410524742113914E-2</v>
      </c>
      <c r="S11" s="20" t="s">
        <v>13</v>
      </c>
      <c r="T11" s="42">
        <v>86.7</v>
      </c>
      <c r="U11" s="43">
        <f t="shared" si="1"/>
        <v>78.03</v>
      </c>
      <c r="V11" s="43">
        <f t="shared" si="2"/>
        <v>95.37</v>
      </c>
      <c r="W11" s="52">
        <v>194.47501810197184</v>
      </c>
      <c r="X11" s="52">
        <v>191.15009407230022</v>
      </c>
      <c r="Y11" s="15">
        <f t="shared" si="3"/>
        <v>0.86878532259949659</v>
      </c>
      <c r="Z11" s="15">
        <f t="shared" si="4"/>
        <v>-0.85576033594387502</v>
      </c>
    </row>
    <row r="12" spans="4:29" x14ac:dyDescent="0.25">
      <c r="D12" s="31" t="s">
        <v>133</v>
      </c>
      <c r="E12" s="3">
        <v>1003.35</v>
      </c>
      <c r="O12" s="1" t="s">
        <v>131</v>
      </c>
      <c r="P12" s="3">
        <f>SUM(P7:P11)</f>
        <v>1003.35</v>
      </c>
      <c r="S12" s="1" t="s">
        <v>131</v>
      </c>
    </row>
    <row r="13" spans="4:29" x14ac:dyDescent="0.25">
      <c r="E13" s="28"/>
      <c r="F13" s="3"/>
      <c r="O13" s="1"/>
      <c r="P13" s="3"/>
      <c r="S13" s="1"/>
    </row>
    <row r="14" spans="4:29" x14ac:dyDescent="0.25">
      <c r="D14" s="3" t="s">
        <v>60</v>
      </c>
      <c r="E14" s="23">
        <f>F7</f>
        <v>126</v>
      </c>
    </row>
    <row r="15" spans="4:29" ht="30" customHeight="1" x14ac:dyDescent="0.25">
      <c r="P15" s="35" t="s">
        <v>145</v>
      </c>
      <c r="Q15" s="35"/>
      <c r="T15" s="37" t="s">
        <v>144</v>
      </c>
      <c r="U15" s="37"/>
      <c r="V15" s="37"/>
      <c r="W15" s="37" t="s">
        <v>142</v>
      </c>
      <c r="X15" s="37"/>
      <c r="Y15" s="37" t="s">
        <v>143</v>
      </c>
      <c r="Z15" s="37"/>
    </row>
    <row r="16" spans="4:29" x14ac:dyDescent="0.25">
      <c r="D16" s="16" t="s">
        <v>21</v>
      </c>
      <c r="E16" s="16" t="s">
        <v>41</v>
      </c>
      <c r="F16" s="16" t="s">
        <v>54</v>
      </c>
      <c r="O16" s="16" t="s">
        <v>21</v>
      </c>
      <c r="P16" s="16" t="s">
        <v>134</v>
      </c>
      <c r="Q16" s="16" t="s">
        <v>132</v>
      </c>
      <c r="S16" s="29" t="s">
        <v>21</v>
      </c>
      <c r="T16" s="17" t="s">
        <v>135</v>
      </c>
      <c r="U16" s="16" t="s">
        <v>136</v>
      </c>
      <c r="V16" s="16" t="s">
        <v>137</v>
      </c>
      <c r="W16" s="16" t="s">
        <v>136</v>
      </c>
      <c r="X16" s="16" t="s">
        <v>137</v>
      </c>
      <c r="Y16" s="16" t="s">
        <v>136</v>
      </c>
      <c r="Z16" s="16" t="s">
        <v>137</v>
      </c>
    </row>
    <row r="17" spans="3:26" x14ac:dyDescent="0.25">
      <c r="D17" s="3" t="s">
        <v>16</v>
      </c>
      <c r="E17" s="3">
        <f>Q17*$E$20</f>
        <v>670</v>
      </c>
      <c r="F17" s="23">
        <f>E17*$F$7/1000</f>
        <v>84.42</v>
      </c>
      <c r="O17" s="1" t="s">
        <v>16</v>
      </c>
      <c r="P17" s="38">
        <v>670</v>
      </c>
      <c r="Q17" s="3">
        <f>P17/$P$20</f>
        <v>0.67</v>
      </c>
      <c r="S17" s="1" t="s">
        <v>16</v>
      </c>
      <c r="T17" s="41">
        <v>670</v>
      </c>
      <c r="U17" s="40">
        <f>T17*(1-($U$3/100))</f>
        <v>603</v>
      </c>
      <c r="V17" s="40">
        <f>T17*(1+($U$3/100))</f>
        <v>737.00000000000011</v>
      </c>
      <c r="W17" s="44">
        <v>188.96134121023891</v>
      </c>
      <c r="X17" s="44">
        <v>196.15318648744707</v>
      </c>
      <c r="Y17" s="4">
        <f>((W17-$R$2)/$R$2)*100</f>
        <v>-1.9910055963491171</v>
      </c>
      <c r="Z17" s="4">
        <f>((X17-$R$2)/$R$2)*100</f>
        <v>1.7392046096717122</v>
      </c>
    </row>
    <row r="18" spans="3:26" x14ac:dyDescent="0.25">
      <c r="D18" s="3" t="s">
        <v>28</v>
      </c>
      <c r="E18" s="3">
        <f t="shared" ref="E18:E19" si="5">Q18*$E$20</f>
        <v>300</v>
      </c>
      <c r="F18" s="23">
        <f t="shared" ref="F18:F19" si="6">E18*$F$7/1000</f>
        <v>37.799999999999997</v>
      </c>
      <c r="O18" s="1" t="s">
        <v>28</v>
      </c>
      <c r="P18" s="38">
        <v>300</v>
      </c>
      <c r="Q18" s="3">
        <f t="shared" ref="Q18:Q19" si="7">P18/$P$20</f>
        <v>0.3</v>
      </c>
      <c r="S18" s="1" t="s">
        <v>28</v>
      </c>
      <c r="T18" s="41">
        <v>300</v>
      </c>
      <c r="U18" s="40">
        <f t="shared" ref="U18:U19" si="8">T18*(1-($U$3/100))</f>
        <v>270</v>
      </c>
      <c r="V18" s="40">
        <f t="shared" ref="V18:V19" si="9">T18*(1+($U$3/100))</f>
        <v>330</v>
      </c>
      <c r="W18" s="44">
        <v>195.94159108931862</v>
      </c>
      <c r="X18" s="44">
        <v>189.83790094623282</v>
      </c>
      <c r="Y18" s="4">
        <f t="shared" ref="Y18:Y19" si="10">((W18-$R$2)/$R$2)*100</f>
        <v>1.6294559591901501</v>
      </c>
      <c r="Z18" s="4">
        <f t="shared" ref="Z18:Z19" si="11">((X18-$R$2)/$R$2)*100</f>
        <v>-1.5363584303771731</v>
      </c>
    </row>
    <row r="19" spans="3:26" x14ac:dyDescent="0.25">
      <c r="D19" s="3" t="s">
        <v>1</v>
      </c>
      <c r="E19" s="3">
        <f t="shared" si="5"/>
        <v>30</v>
      </c>
      <c r="F19" s="23">
        <f t="shared" si="6"/>
        <v>3.78</v>
      </c>
      <c r="O19" s="20" t="s">
        <v>1</v>
      </c>
      <c r="P19" s="39">
        <v>30</v>
      </c>
      <c r="Q19" s="14">
        <f t="shared" si="7"/>
        <v>0.03</v>
      </c>
      <c r="S19" s="20" t="s">
        <v>1</v>
      </c>
      <c r="T19" s="42">
        <f>0.03*1000</f>
        <v>30</v>
      </c>
      <c r="U19" s="43">
        <f t="shared" si="8"/>
        <v>27</v>
      </c>
      <c r="V19" s="43">
        <f t="shared" si="9"/>
        <v>33</v>
      </c>
      <c r="W19" s="52">
        <v>193.33046963343375</v>
      </c>
      <c r="X19" s="52">
        <v>192.26909581926768</v>
      </c>
      <c r="Y19" s="15">
        <f t="shared" si="10"/>
        <v>0.27513985136604735</v>
      </c>
      <c r="Z19" s="15">
        <f t="shared" si="11"/>
        <v>-0.27536523896905363</v>
      </c>
    </row>
    <row r="20" spans="3:26" x14ac:dyDescent="0.25">
      <c r="D20" s="1" t="s">
        <v>14</v>
      </c>
      <c r="E20" s="3">
        <v>1000</v>
      </c>
      <c r="F20" s="23">
        <f>SUM(F17:F19)</f>
        <v>126</v>
      </c>
      <c r="O20" s="1" t="s">
        <v>131</v>
      </c>
      <c r="P20" s="3">
        <f>SUM(P17:P19)</f>
        <v>1000</v>
      </c>
      <c r="T20" s="3"/>
      <c r="U20" s="3"/>
      <c r="V20" s="3"/>
      <c r="W20" s="23"/>
      <c r="X20" s="23"/>
      <c r="Y20" s="4"/>
      <c r="Z20" s="4"/>
    </row>
    <row r="21" spans="3:26" x14ac:dyDescent="0.25">
      <c r="T21" s="3"/>
      <c r="U21" s="3"/>
      <c r="V21" s="3"/>
      <c r="W21" s="23"/>
      <c r="X21" s="23"/>
      <c r="Y21" s="4"/>
      <c r="Z21" s="4"/>
    </row>
    <row r="22" spans="3:26" ht="18" x14ac:dyDescent="0.35">
      <c r="D22" s="3" t="s">
        <v>42</v>
      </c>
      <c r="E22" s="8" t="s">
        <v>43</v>
      </c>
    </row>
    <row r="23" spans="3:26" ht="18" x14ac:dyDescent="0.35">
      <c r="E23" t="s">
        <v>44</v>
      </c>
    </row>
    <row r="25" spans="3:26" x14ac:dyDescent="0.25">
      <c r="C25" s="17"/>
      <c r="D25" s="16" t="s">
        <v>21</v>
      </c>
      <c r="E25" s="16" t="s">
        <v>47</v>
      </c>
      <c r="F25" s="16" t="s">
        <v>48</v>
      </c>
      <c r="G25" s="16" t="s">
        <v>49</v>
      </c>
    </row>
    <row r="26" spans="3:26" x14ac:dyDescent="0.25">
      <c r="C26" t="s">
        <v>50</v>
      </c>
      <c r="D26" s="3" t="s">
        <v>45</v>
      </c>
      <c r="E26" s="3">
        <v>1</v>
      </c>
      <c r="F26" s="3">
        <v>100</v>
      </c>
      <c r="G26" s="3">
        <f>E26*1000/F26</f>
        <v>10</v>
      </c>
    </row>
    <row r="27" spans="3:26" x14ac:dyDescent="0.25">
      <c r="C27" t="s">
        <v>51</v>
      </c>
      <c r="D27" s="3" t="s">
        <v>52</v>
      </c>
      <c r="E27" s="3">
        <f>G27*F27/1000</f>
        <v>0.56000000000000005</v>
      </c>
      <c r="F27" s="3">
        <v>56</v>
      </c>
      <c r="G27" s="3">
        <v>10</v>
      </c>
    </row>
    <row r="28" spans="3:26" x14ac:dyDescent="0.25">
      <c r="C28" s="13" t="s">
        <v>51</v>
      </c>
      <c r="D28" s="14" t="s">
        <v>53</v>
      </c>
      <c r="E28" s="14">
        <f>G28*F28/1000</f>
        <v>0.44</v>
      </c>
      <c r="F28" s="14">
        <v>44</v>
      </c>
      <c r="G28" s="14">
        <v>10</v>
      </c>
    </row>
    <row r="30" spans="3:26" x14ac:dyDescent="0.25">
      <c r="D30" s="19" t="s">
        <v>55</v>
      </c>
    </row>
    <row r="31" spans="3:26" ht="30" customHeight="1" x14ac:dyDescent="0.25">
      <c r="T31" s="37" t="s">
        <v>146</v>
      </c>
      <c r="U31" s="37"/>
      <c r="V31" s="37"/>
      <c r="W31" s="37" t="s">
        <v>142</v>
      </c>
      <c r="X31" s="37"/>
      <c r="Y31" s="37" t="s">
        <v>143</v>
      </c>
      <c r="Z31" s="37"/>
    </row>
    <row r="32" spans="3:26" x14ac:dyDescent="0.25">
      <c r="D32" s="1" t="s">
        <v>56</v>
      </c>
      <c r="E32" s="3">
        <f>F17</f>
        <v>84.42</v>
      </c>
      <c r="O32" s="29" t="s">
        <v>146</v>
      </c>
      <c r="P32" s="13"/>
      <c r="S32" s="29" t="s">
        <v>146</v>
      </c>
      <c r="T32" s="17" t="s">
        <v>135</v>
      </c>
      <c r="U32" s="16" t="s">
        <v>136</v>
      </c>
      <c r="V32" s="16" t="s">
        <v>137</v>
      </c>
      <c r="W32" s="16" t="s">
        <v>136</v>
      </c>
      <c r="X32" s="16" t="s">
        <v>137</v>
      </c>
      <c r="Y32" s="16" t="s">
        <v>136</v>
      </c>
      <c r="Z32" s="16" t="s">
        <v>137</v>
      </c>
    </row>
    <row r="33" spans="4:26" x14ac:dyDescent="0.25">
      <c r="D33" s="1" t="s">
        <v>57</v>
      </c>
      <c r="E33" s="3">
        <f>P33</f>
        <v>0.56000000000000005</v>
      </c>
      <c r="O33" s="1" t="s">
        <v>57</v>
      </c>
      <c r="P33" s="38">
        <v>0.56000000000000005</v>
      </c>
      <c r="S33" s="1" t="s">
        <v>57</v>
      </c>
      <c r="T33" s="41">
        <v>0.56000000000000005</v>
      </c>
      <c r="U33" s="45">
        <f>T33*(1-($U$3/100))</f>
        <v>0.50400000000000011</v>
      </c>
      <c r="V33" s="54">
        <f>T33*(1+($U$3/100))</f>
        <v>0.6160000000000001</v>
      </c>
      <c r="W33" s="44">
        <v>212.20878816180129</v>
      </c>
      <c r="X33" s="44">
        <v>177.14448300742632</v>
      </c>
      <c r="Y33" s="4">
        <f>((W33-$R$2)/$R$2)*100</f>
        <v>10.066798839108548</v>
      </c>
      <c r="Z33" s="4">
        <f>((X33-$R$2)/$R$2)*100</f>
        <v>-8.1200814276834503</v>
      </c>
    </row>
    <row r="34" spans="4:26" x14ac:dyDescent="0.25">
      <c r="D34" s="20" t="s">
        <v>58</v>
      </c>
      <c r="E34" s="14">
        <f>P34</f>
        <v>0.96</v>
      </c>
      <c r="O34" s="20" t="s">
        <v>58</v>
      </c>
      <c r="P34" s="39">
        <v>0.96</v>
      </c>
      <c r="S34" s="20" t="s">
        <v>58</v>
      </c>
      <c r="T34" s="42">
        <v>0.96</v>
      </c>
      <c r="U34" s="46">
        <f>T34*(1-($U$3/100))</f>
        <v>0.86399999999999999</v>
      </c>
      <c r="V34" s="55">
        <f>T34*(1+($U$3/100))</f>
        <v>1.056</v>
      </c>
      <c r="W34" s="52">
        <v>211.60690916967198</v>
      </c>
      <c r="X34" s="52">
        <v>177.53828697367041</v>
      </c>
      <c r="Y34" s="15">
        <f t="shared" ref="Y34" si="12">((W34-$R$2)/$R$2)*100</f>
        <v>9.7546209386265392</v>
      </c>
      <c r="Z34" s="15">
        <f t="shared" ref="Z34" si="13">((X34-$R$2)/$R$2)*100</f>
        <v>-7.9158262584697106</v>
      </c>
    </row>
    <row r="35" spans="4:26" x14ac:dyDescent="0.25">
      <c r="D35" s="21" t="s">
        <v>59</v>
      </c>
      <c r="E35" s="7">
        <f>E32/E33/E34</f>
        <v>157.03125</v>
      </c>
    </row>
    <row r="38" spans="4:26" x14ac:dyDescent="0.25">
      <c r="D38" s="22" t="s">
        <v>61</v>
      </c>
    </row>
    <row r="39" spans="4:26" ht="30" customHeight="1" x14ac:dyDescent="0.25">
      <c r="T39" s="37" t="s">
        <v>147</v>
      </c>
      <c r="U39" s="37"/>
      <c r="V39" s="37"/>
      <c r="W39" s="37" t="s">
        <v>142</v>
      </c>
      <c r="X39" s="37"/>
      <c r="Y39" s="37" t="s">
        <v>143</v>
      </c>
      <c r="Z39" s="37"/>
    </row>
    <row r="40" spans="4:26" x14ac:dyDescent="0.25">
      <c r="D40" s="1" t="s">
        <v>62</v>
      </c>
      <c r="E40" s="3">
        <f>F18</f>
        <v>37.799999999999997</v>
      </c>
      <c r="O40" s="29" t="s">
        <v>147</v>
      </c>
      <c r="P40" s="13"/>
      <c r="S40" s="29" t="s">
        <v>147</v>
      </c>
      <c r="T40" s="17" t="s">
        <v>135</v>
      </c>
      <c r="U40" s="16" t="s">
        <v>136</v>
      </c>
      <c r="V40" s="16" t="s">
        <v>137</v>
      </c>
      <c r="W40" s="16" t="s">
        <v>136</v>
      </c>
      <c r="X40" s="16" t="s">
        <v>137</v>
      </c>
      <c r="Y40" s="16" t="s">
        <v>136</v>
      </c>
      <c r="Z40" s="16" t="s">
        <v>137</v>
      </c>
    </row>
    <row r="41" spans="4:26" x14ac:dyDescent="0.25">
      <c r="D41" s="20" t="s">
        <v>63</v>
      </c>
      <c r="E41" s="14">
        <f>P41</f>
        <v>0.83199999999999996</v>
      </c>
      <c r="O41" s="20" t="s">
        <v>63</v>
      </c>
      <c r="P41" s="39">
        <v>0.83199999999999996</v>
      </c>
      <c r="S41" s="90" t="s">
        <v>63</v>
      </c>
      <c r="T41" s="48">
        <v>0.83199999999999996</v>
      </c>
      <c r="U41" s="49">
        <f>T41*(1-($U$3/100))</f>
        <v>0.74880000000000002</v>
      </c>
      <c r="V41" s="49">
        <f>T41*(1+($U$3/100))</f>
        <v>0.91520000000000001</v>
      </c>
      <c r="W41" s="56">
        <v>194.65327187572564</v>
      </c>
      <c r="X41" s="56">
        <v>191.1752405083343</v>
      </c>
      <c r="Y41" s="51">
        <f>((W41-$R$2)/$R$2)*100</f>
        <v>0.96124059944275131</v>
      </c>
      <c r="Z41" s="51">
        <f>((X41-$R$2)/$R$2)*100</f>
        <v>-0.84271757866478914</v>
      </c>
    </row>
    <row r="42" spans="4:26" x14ac:dyDescent="0.25">
      <c r="D42" s="1" t="s">
        <v>64</v>
      </c>
      <c r="E42" s="23">
        <f>E40/E41</f>
        <v>45.432692307692307</v>
      </c>
    </row>
    <row r="44" spans="4:26" ht="33" customHeight="1" x14ac:dyDescent="0.35">
      <c r="T44" s="36" t="s">
        <v>148</v>
      </c>
      <c r="U44" s="36"/>
      <c r="V44" s="36"/>
      <c r="W44" s="57" t="s">
        <v>142</v>
      </c>
      <c r="X44" s="57"/>
      <c r="Y44" s="37" t="s">
        <v>143</v>
      </c>
      <c r="Z44" s="37"/>
    </row>
    <row r="45" spans="4:26" ht="18" x14ac:dyDescent="0.35">
      <c r="D45" s="17" t="s">
        <v>23</v>
      </c>
      <c r="E45" s="16" t="s">
        <v>66</v>
      </c>
      <c r="O45" s="29" t="s">
        <v>23</v>
      </c>
      <c r="P45" s="16" t="s">
        <v>66</v>
      </c>
      <c r="S45" s="29" t="s">
        <v>23</v>
      </c>
      <c r="T45" s="17" t="s">
        <v>135</v>
      </c>
      <c r="U45" s="16" t="s">
        <v>136</v>
      </c>
      <c r="V45" s="16" t="s">
        <v>137</v>
      </c>
      <c r="W45" s="16" t="s">
        <v>136</v>
      </c>
      <c r="X45" s="16" t="s">
        <v>137</v>
      </c>
      <c r="Y45" s="16" t="s">
        <v>136</v>
      </c>
      <c r="Z45" s="16" t="s">
        <v>137</v>
      </c>
    </row>
    <row r="46" spans="4:26" x14ac:dyDescent="0.25">
      <c r="D46" t="s">
        <v>8</v>
      </c>
      <c r="E46" s="3">
        <f>P46</f>
        <v>28</v>
      </c>
      <c r="O46" s="1" t="s">
        <v>8</v>
      </c>
      <c r="P46" s="38">
        <v>28</v>
      </c>
      <c r="S46" s="1" t="s">
        <v>8</v>
      </c>
      <c r="T46" s="41">
        <v>28</v>
      </c>
      <c r="U46" s="58">
        <f t="shared" ref="U46:U48" si="14">T46*(1-($U$3/100))</f>
        <v>25.2</v>
      </c>
      <c r="V46" s="58">
        <f t="shared" ref="V46:V48" si="15">T46*(1+($U$3/100))</f>
        <v>30.800000000000004</v>
      </c>
      <c r="W46" s="44">
        <v>192.79751328962945</v>
      </c>
      <c r="X46" s="44">
        <v>192.79886804162948</v>
      </c>
      <c r="Y46" s="59">
        <f t="shared" ref="Y46:Y48" si="16">((W46-$R$2)/$R$2)*100</f>
        <v>-1.2897875365983898E-3</v>
      </c>
      <c r="Z46" s="59">
        <f t="shared" ref="Z46:Z48" si="17">((X46-$R$2)/$R$2)*100</f>
        <v>-5.8711533741484057E-4</v>
      </c>
    </row>
    <row r="47" spans="4:26" x14ac:dyDescent="0.25">
      <c r="D47" t="s">
        <v>9</v>
      </c>
      <c r="E47" s="3">
        <f>P47</f>
        <v>12</v>
      </c>
      <c r="O47" s="1" t="s">
        <v>9</v>
      </c>
      <c r="P47" s="38">
        <v>12</v>
      </c>
      <c r="S47" s="1" t="s">
        <v>9</v>
      </c>
      <c r="T47" s="41">
        <v>12</v>
      </c>
      <c r="U47" s="58">
        <f t="shared" si="14"/>
        <v>10.8</v>
      </c>
      <c r="V47" s="58">
        <f t="shared" si="15"/>
        <v>13.200000000000001</v>
      </c>
      <c r="W47" s="44">
        <v>192.77493760553347</v>
      </c>
      <c r="X47" s="44">
        <v>192.82144372572546</v>
      </c>
      <c r="Y47" s="59">
        <f t="shared" si="16"/>
        <v>-1.2999167254432002E-2</v>
      </c>
      <c r="Z47" s="59">
        <f t="shared" si="17"/>
        <v>1.1122264380418773E-2</v>
      </c>
    </row>
    <row r="48" spans="4:26" x14ac:dyDescent="0.25">
      <c r="D48" t="s">
        <v>10</v>
      </c>
      <c r="E48" s="3">
        <f>P48</f>
        <v>135</v>
      </c>
      <c r="O48" s="20" t="s">
        <v>10</v>
      </c>
      <c r="P48" s="39">
        <v>135</v>
      </c>
      <c r="S48" s="20" t="s">
        <v>10</v>
      </c>
      <c r="T48" s="42">
        <v>135</v>
      </c>
      <c r="U48" s="46">
        <f t="shared" si="14"/>
        <v>121.5</v>
      </c>
      <c r="V48" s="46">
        <f t="shared" si="15"/>
        <v>148.5</v>
      </c>
      <c r="W48" s="52">
        <v>192.48125697322561</v>
      </c>
      <c r="X48" s="52">
        <v>193.11512435803328</v>
      </c>
      <c r="Y48" s="15">
        <f t="shared" si="16"/>
        <v>-0.16532314666721945</v>
      </c>
      <c r="Z48" s="15">
        <f t="shared" si="17"/>
        <v>0.16344624379319148</v>
      </c>
    </row>
    <row r="51" spans="4:26" x14ac:dyDescent="0.25">
      <c r="D51" s="2" t="s">
        <v>23</v>
      </c>
    </row>
    <row r="52" spans="4:26" ht="30.75" customHeight="1" x14ac:dyDescent="0.25">
      <c r="D52" s="2"/>
      <c r="E52" s="2"/>
      <c r="F52" s="2"/>
      <c r="G52" s="2"/>
      <c r="H52" s="2"/>
      <c r="I52" s="2"/>
      <c r="J52" s="35" t="s">
        <v>35</v>
      </c>
      <c r="K52" s="35"/>
      <c r="T52" s="36" t="s">
        <v>150</v>
      </c>
      <c r="U52" s="36"/>
      <c r="V52" s="36"/>
      <c r="W52" s="57" t="s">
        <v>142</v>
      </c>
      <c r="X52" s="57"/>
      <c r="Y52" s="37" t="s">
        <v>143</v>
      </c>
      <c r="Z52" s="37"/>
    </row>
    <row r="53" spans="4:26" x14ac:dyDescent="0.25">
      <c r="D53" s="11" t="s">
        <v>21</v>
      </c>
      <c r="E53" s="11" t="s">
        <v>18</v>
      </c>
      <c r="F53" s="11" t="s">
        <v>19</v>
      </c>
      <c r="G53" s="11" t="s">
        <v>4</v>
      </c>
      <c r="H53" s="12" t="s">
        <v>26</v>
      </c>
      <c r="I53" s="12" t="s">
        <v>46</v>
      </c>
      <c r="J53" s="12" t="s">
        <v>36</v>
      </c>
      <c r="K53" s="11" t="s">
        <v>37</v>
      </c>
      <c r="L53" s="24" t="s">
        <v>65</v>
      </c>
      <c r="O53" s="29" t="s">
        <v>149</v>
      </c>
      <c r="P53" s="16" t="s">
        <v>4</v>
      </c>
      <c r="S53" s="29" t="s">
        <v>149</v>
      </c>
      <c r="T53" s="17" t="s">
        <v>135</v>
      </c>
      <c r="U53" s="16" t="s">
        <v>136</v>
      </c>
      <c r="V53" s="16" t="s">
        <v>137</v>
      </c>
      <c r="W53" s="16" t="s">
        <v>136</v>
      </c>
      <c r="X53" s="16" t="s">
        <v>137</v>
      </c>
      <c r="Y53" s="16" t="s">
        <v>136</v>
      </c>
      <c r="Z53" s="16" t="s">
        <v>137</v>
      </c>
    </row>
    <row r="54" spans="4:26" x14ac:dyDescent="0.25">
      <c r="D54" t="s">
        <v>0</v>
      </c>
      <c r="E54" t="s">
        <v>6</v>
      </c>
      <c r="F54" t="s">
        <v>25</v>
      </c>
      <c r="G54" s="3">
        <f>P54</f>
        <v>20</v>
      </c>
      <c r="H54" s="3" t="s">
        <v>27</v>
      </c>
      <c r="I54" s="7">
        <f>E35</f>
        <v>157.03125</v>
      </c>
      <c r="J54" s="3">
        <f>E48</f>
        <v>135</v>
      </c>
      <c r="K54" s="4">
        <f>G54*J54/1000</f>
        <v>2.7</v>
      </c>
      <c r="L54" s="7">
        <f>I54*K54</f>
        <v>423.984375</v>
      </c>
      <c r="O54" s="1" t="str">
        <f>_xlfn.CONCAT(E54," - ",F54)</f>
        <v>Oparure Quarry - Graymont, Otorohanga</v>
      </c>
      <c r="P54" s="38">
        <v>20</v>
      </c>
      <c r="S54" s="1" t="str">
        <f>O54</f>
        <v>Oparure Quarry - Graymont, Otorohanga</v>
      </c>
      <c r="T54" s="41">
        <v>20</v>
      </c>
      <c r="U54" s="60">
        <f t="shared" ref="U54:U60" si="18">T54*(1-($U$3/100))</f>
        <v>18</v>
      </c>
      <c r="V54" s="60">
        <f t="shared" ref="V54:V60" si="19">T54*(1+($U$3/100))</f>
        <v>22</v>
      </c>
      <c r="W54" s="44">
        <v>192.75579222812945</v>
      </c>
      <c r="X54" s="44">
        <v>192.84058910312945</v>
      </c>
      <c r="Y54" s="59">
        <f t="shared" ref="Y54:Y60" si="20">((W54-$R$2)/$R$2)*100</f>
        <v>-2.2929342256514763E-2</v>
      </c>
      <c r="Z54" s="59">
        <f t="shared" ref="Z54:Z60" si="21">((X54-$R$2)/$R$2)*100</f>
        <v>2.1052439382486788E-2</v>
      </c>
    </row>
    <row r="55" spans="4:26" x14ac:dyDescent="0.25">
      <c r="D55" t="s">
        <v>28</v>
      </c>
      <c r="E55" t="s">
        <v>29</v>
      </c>
      <c r="F55" t="s">
        <v>25</v>
      </c>
      <c r="G55" s="3">
        <f t="shared" ref="G55:G60" si="22">P55</f>
        <v>91.3</v>
      </c>
      <c r="H55" s="3" t="s">
        <v>27</v>
      </c>
      <c r="I55" s="23">
        <f>E42</f>
        <v>45.432692307692307</v>
      </c>
      <c r="J55" s="3">
        <f>E48</f>
        <v>135</v>
      </c>
      <c r="K55" s="4">
        <f t="shared" ref="K55:K60" si="23">G55*J55/1000</f>
        <v>12.3255</v>
      </c>
      <c r="L55" s="7">
        <f t="shared" ref="L55:L60" si="24">I55*K55</f>
        <v>559.98064903846148</v>
      </c>
      <c r="O55" s="1" t="str">
        <f t="shared" ref="O55:O60" si="25">_xlfn.CONCAT(E55," - ",F55)</f>
        <v>Huntly Quarry - Graymont, Otorohanga</v>
      </c>
      <c r="P55" s="38">
        <v>91.3</v>
      </c>
      <c r="S55" s="1" t="str">
        <f t="shared" ref="S55:S60" si="26">O55</f>
        <v>Huntly Quarry - Graymont, Otorohanga</v>
      </c>
      <c r="T55" s="41">
        <v>91.3</v>
      </c>
      <c r="U55" s="60">
        <f t="shared" si="18"/>
        <v>82.17</v>
      </c>
      <c r="V55" s="60">
        <f t="shared" si="19"/>
        <v>100.43</v>
      </c>
      <c r="W55" s="44">
        <v>192.74114992043715</v>
      </c>
      <c r="X55" s="44">
        <v>192.85155136274486</v>
      </c>
      <c r="Y55" s="59">
        <f t="shared" si="20"/>
        <v>-3.0523900188204896E-2</v>
      </c>
      <c r="Z55" s="59">
        <f t="shared" si="21"/>
        <v>2.6738258685085902E-2</v>
      </c>
    </row>
    <row r="56" spans="4:26" x14ac:dyDescent="0.25">
      <c r="D56" t="s">
        <v>1</v>
      </c>
      <c r="E56" t="s">
        <v>5</v>
      </c>
      <c r="F56" t="s">
        <v>30</v>
      </c>
      <c r="G56" s="3">
        <f t="shared" si="22"/>
        <v>64</v>
      </c>
      <c r="H56" s="3" t="s">
        <v>24</v>
      </c>
      <c r="I56" s="23">
        <f>$F$19</f>
        <v>3.78</v>
      </c>
      <c r="J56" s="3">
        <f>E46</f>
        <v>28</v>
      </c>
      <c r="K56" s="4">
        <f t="shared" si="23"/>
        <v>1.792</v>
      </c>
      <c r="L56" s="7">
        <f t="shared" si="24"/>
        <v>6.7737600000000002</v>
      </c>
      <c r="O56" s="1" t="str">
        <f t="shared" si="25"/>
        <v>Lake McDonnell - Thevenard</v>
      </c>
      <c r="P56" s="38">
        <v>64</v>
      </c>
      <c r="S56" s="1" t="str">
        <f t="shared" si="26"/>
        <v>Lake McDonnell - Thevenard</v>
      </c>
      <c r="T56" s="41">
        <v>64</v>
      </c>
      <c r="U56" s="60">
        <f t="shared" si="18"/>
        <v>57.6</v>
      </c>
      <c r="V56" s="60">
        <f t="shared" si="19"/>
        <v>70.400000000000006</v>
      </c>
      <c r="W56" s="44">
        <v>192.79755562562946</v>
      </c>
      <c r="X56" s="44">
        <v>192.79882570562944</v>
      </c>
      <c r="Y56" s="59">
        <f t="shared" si="20"/>
        <v>-1.2678290303706791E-3</v>
      </c>
      <c r="Z56" s="59">
        <f t="shared" si="21"/>
        <v>-6.090738436572927E-4</v>
      </c>
    </row>
    <row r="57" spans="4:26" x14ac:dyDescent="0.25">
      <c r="D57" t="s">
        <v>1</v>
      </c>
      <c r="E57" t="s">
        <v>30</v>
      </c>
      <c r="F57" t="s">
        <v>31</v>
      </c>
      <c r="G57" s="7">
        <f t="shared" si="22"/>
        <v>5126</v>
      </c>
      <c r="H57" s="3" t="s">
        <v>32</v>
      </c>
      <c r="I57" s="23">
        <f>$F$19</f>
        <v>3.78</v>
      </c>
      <c r="J57" s="3">
        <f>E47</f>
        <v>12</v>
      </c>
      <c r="K57" s="4">
        <f t="shared" si="23"/>
        <v>61.512</v>
      </c>
      <c r="L57" s="7">
        <f t="shared" si="24"/>
        <v>232.51535999999999</v>
      </c>
      <c r="O57" s="1" t="str">
        <f t="shared" si="25"/>
        <v>Thevenard - Port of Tauranga</v>
      </c>
      <c r="P57" s="62">
        <v>5126</v>
      </c>
      <c r="S57" s="1" t="str">
        <f t="shared" si="26"/>
        <v>Thevenard - Port of Tauranga</v>
      </c>
      <c r="T57" s="63">
        <v>5126.3360000000002</v>
      </c>
      <c r="U57" s="60">
        <f t="shared" si="18"/>
        <v>4613.7024000000001</v>
      </c>
      <c r="V57" s="60">
        <f t="shared" si="19"/>
        <v>5638.9696000000004</v>
      </c>
      <c r="W57" s="44">
        <v>192.77495110466944</v>
      </c>
      <c r="X57" s="44">
        <v>192.82144510466946</v>
      </c>
      <c r="Y57" s="59">
        <f t="shared" si="20"/>
        <v>-1.2992165627889279E-2</v>
      </c>
      <c r="Z57" s="59">
        <f t="shared" si="21"/>
        <v>1.1122979600338943E-2</v>
      </c>
    </row>
    <row r="58" spans="4:26" x14ac:dyDescent="0.25">
      <c r="D58" t="s">
        <v>1</v>
      </c>
      <c r="E58" t="s">
        <v>31</v>
      </c>
      <c r="F58" t="s">
        <v>25</v>
      </c>
      <c r="G58" s="3">
        <f t="shared" si="22"/>
        <v>143</v>
      </c>
      <c r="H58" s="3" t="s">
        <v>27</v>
      </c>
      <c r="I58" s="23">
        <f>$F$19</f>
        <v>3.78</v>
      </c>
      <c r="J58" s="3">
        <f>E48</f>
        <v>135</v>
      </c>
      <c r="K58" s="4">
        <f t="shared" si="23"/>
        <v>19.305</v>
      </c>
      <c r="L58" s="7">
        <f t="shared" si="24"/>
        <v>72.972899999999996</v>
      </c>
      <c r="O58" s="1" t="str">
        <f t="shared" si="25"/>
        <v>Port of Tauranga - Graymont, Otorohanga</v>
      </c>
      <c r="P58" s="38">
        <v>143</v>
      </c>
      <c r="S58" s="1" t="str">
        <f t="shared" si="26"/>
        <v>Port of Tauranga - Graymont, Otorohanga</v>
      </c>
      <c r="T58" s="41">
        <v>143</v>
      </c>
      <c r="U58" s="60">
        <f t="shared" si="18"/>
        <v>128.70000000000002</v>
      </c>
      <c r="V58" s="60">
        <f t="shared" si="19"/>
        <v>157.30000000000001</v>
      </c>
      <c r="W58" s="44">
        <v>192.79103122466944</v>
      </c>
      <c r="X58" s="44">
        <v>192.80531962466947</v>
      </c>
      <c r="Y58" s="59">
        <f t="shared" si="20"/>
        <v>-4.6518544245707973E-3</v>
      </c>
      <c r="Z58" s="59">
        <f t="shared" si="21"/>
        <v>2.7591414260653602E-3</v>
      </c>
    </row>
    <row r="59" spans="4:26" x14ac:dyDescent="0.25">
      <c r="D59" t="s">
        <v>11</v>
      </c>
      <c r="E59" t="s">
        <v>25</v>
      </c>
      <c r="F59" t="s">
        <v>33</v>
      </c>
      <c r="G59" s="3">
        <f t="shared" si="22"/>
        <v>73.400000000000006</v>
      </c>
      <c r="H59" s="3" t="s">
        <v>27</v>
      </c>
      <c r="I59" s="7">
        <f>F7</f>
        <v>126</v>
      </c>
      <c r="J59" s="3">
        <f>E48</f>
        <v>135</v>
      </c>
      <c r="K59" s="4">
        <f t="shared" si="23"/>
        <v>9.9090000000000007</v>
      </c>
      <c r="L59" s="7">
        <f t="shared" si="24"/>
        <v>1248.5340000000001</v>
      </c>
      <c r="O59" s="1" t="str">
        <f t="shared" si="25"/>
        <v>Graymont, Otorohanga - Allied Concrete</v>
      </c>
      <c r="P59" s="38">
        <v>73.400000000000006</v>
      </c>
      <c r="S59" s="1" t="str">
        <f t="shared" si="26"/>
        <v>Graymont, Otorohanga - Allied Concrete</v>
      </c>
      <c r="T59" s="41">
        <v>73.400000000000006</v>
      </c>
      <c r="U59" s="60">
        <f t="shared" si="18"/>
        <v>66.06</v>
      </c>
      <c r="V59" s="60">
        <f t="shared" si="19"/>
        <v>80.740000000000009</v>
      </c>
      <c r="W59" s="44">
        <v>192.67230142466946</v>
      </c>
      <c r="X59" s="44">
        <v>192.92745142466944</v>
      </c>
      <c r="Y59" s="59">
        <f t="shared" si="20"/>
        <v>-6.6233700897590911E-2</v>
      </c>
      <c r="Z59" s="59">
        <f t="shared" si="21"/>
        <v>6.6105510720659191E-2</v>
      </c>
    </row>
    <row r="60" spans="4:26" x14ac:dyDescent="0.25">
      <c r="D60" s="13" t="s">
        <v>17</v>
      </c>
      <c r="E60" s="13" t="s">
        <v>34</v>
      </c>
      <c r="F60" s="13" t="s">
        <v>33</v>
      </c>
      <c r="G60" s="14">
        <f t="shared" si="22"/>
        <v>8.1</v>
      </c>
      <c r="H60" s="14" t="s">
        <v>27</v>
      </c>
      <c r="I60" s="25">
        <f>F9+F8</f>
        <v>790</v>
      </c>
      <c r="J60" s="14">
        <f>E48</f>
        <v>135</v>
      </c>
      <c r="K60" s="15">
        <f t="shared" si="23"/>
        <v>1.0934999999999999</v>
      </c>
      <c r="L60" s="25">
        <f t="shared" si="24"/>
        <v>863.8649999999999</v>
      </c>
      <c r="O60" s="20" t="str">
        <f t="shared" si="25"/>
        <v>Fulton Hogan, Ngaruawhahia - Allied Concrete</v>
      </c>
      <c r="P60" s="39">
        <v>8.1</v>
      </c>
      <c r="S60" s="20" t="str">
        <f t="shared" si="26"/>
        <v>Fulton Hogan, Ngaruawhahia - Allied Concrete</v>
      </c>
      <c r="T60" s="42">
        <v>8.1</v>
      </c>
      <c r="U60" s="61">
        <f t="shared" si="18"/>
        <v>7.29</v>
      </c>
      <c r="V60" s="61">
        <f t="shared" si="19"/>
        <v>8.91</v>
      </c>
      <c r="W60" s="52">
        <v>192.68086042466945</v>
      </c>
      <c r="X60" s="52">
        <v>192.89416042466945</v>
      </c>
      <c r="Y60" s="15">
        <f t="shared" si="20"/>
        <v>-6.1794385544898439E-2</v>
      </c>
      <c r="Z60" s="15">
        <f t="shared" si="21"/>
        <v>4.8838394538091093E-2</v>
      </c>
    </row>
    <row r="61" spans="4:26" x14ac:dyDescent="0.25">
      <c r="K61" s="31" t="s">
        <v>14</v>
      </c>
      <c r="L61" s="9">
        <f>SUM(L54:L60)</f>
        <v>3408.6260440384613</v>
      </c>
    </row>
    <row r="65" spans="4:27" ht="33" customHeight="1" x14ac:dyDescent="0.25">
      <c r="T65" s="69" t="s">
        <v>151</v>
      </c>
      <c r="U65" s="69"/>
      <c r="V65" s="69"/>
      <c r="W65" s="57" t="s">
        <v>142</v>
      </c>
      <c r="X65" s="57"/>
      <c r="Y65" s="37" t="s">
        <v>143</v>
      </c>
      <c r="Z65" s="37"/>
    </row>
    <row r="66" spans="4:27" ht="18" x14ac:dyDescent="0.35">
      <c r="D66" s="17" t="s">
        <v>21</v>
      </c>
      <c r="E66" s="16" t="s">
        <v>40</v>
      </c>
      <c r="F66" s="16" t="s">
        <v>67</v>
      </c>
      <c r="G66" s="16" t="s">
        <v>68</v>
      </c>
      <c r="O66" s="29" t="s">
        <v>21</v>
      </c>
      <c r="P66" s="16" t="s">
        <v>67</v>
      </c>
      <c r="S66" s="29" t="s">
        <v>21</v>
      </c>
      <c r="T66" s="17" t="s">
        <v>135</v>
      </c>
      <c r="U66" s="16" t="s">
        <v>136</v>
      </c>
      <c r="V66" s="16" t="s">
        <v>137</v>
      </c>
      <c r="W66" s="16" t="s">
        <v>136</v>
      </c>
      <c r="X66" s="16" t="s">
        <v>137</v>
      </c>
      <c r="Y66" s="16" t="s">
        <v>136</v>
      </c>
      <c r="Z66" s="16" t="s">
        <v>137</v>
      </c>
    </row>
    <row r="67" spans="4:27" x14ac:dyDescent="0.25">
      <c r="D67" t="s">
        <v>0</v>
      </c>
      <c r="E67" s="7">
        <f>E35</f>
        <v>157.03125</v>
      </c>
      <c r="F67" s="4">
        <f>P67</f>
        <v>2.74</v>
      </c>
      <c r="G67" s="7">
        <f>E67*F67</f>
        <v>430.26562500000006</v>
      </c>
      <c r="O67" s="1" t="s">
        <v>0</v>
      </c>
      <c r="P67" s="64">
        <v>2.74</v>
      </c>
      <c r="S67" s="1" t="s">
        <v>0</v>
      </c>
      <c r="T67" s="66">
        <v>2.7360000000000002</v>
      </c>
      <c r="U67" s="58">
        <f t="shared" ref="U67:U71" si="27">T67*(1-($U$3/100))</f>
        <v>2.4624000000000001</v>
      </c>
      <c r="V67" s="58">
        <f t="shared" ref="V67:V71" si="28">T67*(1+($U$3/100))</f>
        <v>3.0096000000000003</v>
      </c>
      <c r="W67" s="44">
        <v>192.75483479966945</v>
      </c>
      <c r="X67" s="44">
        <v>192.84120198716946</v>
      </c>
      <c r="Y67" s="59">
        <f t="shared" ref="Y67:Y71" si="29">((W67-$R$2)/$R$2)*100</f>
        <v>-2.3425933781409884E-2</v>
      </c>
      <c r="Z67" s="59">
        <f t="shared" ref="Z67:Z71" si="30">((X67-$R$2)/$R$2)*100</f>
        <v>2.1370325295354778E-2</v>
      </c>
    </row>
    <row r="68" spans="4:27" x14ac:dyDescent="0.25">
      <c r="D68" t="s">
        <v>28</v>
      </c>
      <c r="E68" s="23">
        <f>E42</f>
        <v>45.432692307692307</v>
      </c>
      <c r="F68" s="4">
        <f t="shared" ref="F68:F71" si="31">P68</f>
        <v>2.74</v>
      </c>
      <c r="G68" s="7">
        <f t="shared" ref="G68:G70" si="32">E68*F68</f>
        <v>124.48557692307693</v>
      </c>
      <c r="O68" s="1" t="s">
        <v>28</v>
      </c>
      <c r="P68" s="64">
        <v>2.74</v>
      </c>
      <c r="S68" s="1" t="s">
        <v>28</v>
      </c>
      <c r="T68" s="66">
        <v>2.7360000000000002</v>
      </c>
      <c r="U68" s="58">
        <f t="shared" si="27"/>
        <v>2.4624000000000001</v>
      </c>
      <c r="V68" s="58">
        <f t="shared" si="28"/>
        <v>3.0096000000000003</v>
      </c>
      <c r="W68" s="44">
        <v>192.78626412659256</v>
      </c>
      <c r="X68" s="44">
        <v>192.81125210736178</v>
      </c>
      <c r="Y68" s="59">
        <f t="shared" si="29"/>
        <v>-7.1244156677672723E-3</v>
      </c>
      <c r="Z68" s="59">
        <f t="shared" si="30"/>
        <v>5.8361552706275716E-3</v>
      </c>
    </row>
    <row r="69" spans="4:27" x14ac:dyDescent="0.25">
      <c r="D69" t="s">
        <v>1</v>
      </c>
      <c r="E69" s="23">
        <f>F19</f>
        <v>3.78</v>
      </c>
      <c r="F69" s="4">
        <f t="shared" si="31"/>
        <v>5.5</v>
      </c>
      <c r="G69" s="7">
        <f t="shared" si="32"/>
        <v>20.79</v>
      </c>
      <c r="O69" s="1" t="s">
        <v>1</v>
      </c>
      <c r="P69" s="64">
        <v>5.5</v>
      </c>
      <c r="S69" s="1" t="s">
        <v>1</v>
      </c>
      <c r="T69" s="66">
        <v>5.4960000000000004</v>
      </c>
      <c r="U69" s="58">
        <f t="shared" si="27"/>
        <v>4.9464000000000006</v>
      </c>
      <c r="V69" s="58">
        <f t="shared" si="28"/>
        <v>6.0456000000000012</v>
      </c>
      <c r="W69" s="44">
        <v>192.8000814004387</v>
      </c>
      <c r="X69" s="44">
        <v>192.80423940043869</v>
      </c>
      <c r="Y69" s="59">
        <f t="shared" si="29"/>
        <v>4.2220144547824752E-5</v>
      </c>
      <c r="Z69" s="59">
        <f t="shared" si="30"/>
        <v>2.1988591486918441E-3</v>
      </c>
    </row>
    <row r="70" spans="4:27" x14ac:dyDescent="0.25">
      <c r="D70" s="26" t="s">
        <v>17</v>
      </c>
      <c r="E70" s="7">
        <f>F8+F9</f>
        <v>790</v>
      </c>
      <c r="F70" s="4">
        <f t="shared" si="31"/>
        <v>2.74</v>
      </c>
      <c r="G70" s="7">
        <f t="shared" si="32"/>
        <v>2164.6000000000004</v>
      </c>
      <c r="O70" s="70" t="s">
        <v>17</v>
      </c>
      <c r="P70" s="64">
        <v>2.74</v>
      </c>
      <c r="S70" s="70" t="s">
        <v>17</v>
      </c>
      <c r="T70" s="66">
        <v>2.7360000000000002</v>
      </c>
      <c r="U70" s="58">
        <f t="shared" si="27"/>
        <v>2.4624000000000001</v>
      </c>
      <c r="V70" s="58">
        <f t="shared" si="28"/>
        <v>3.0096000000000003</v>
      </c>
      <c r="W70" s="44">
        <v>192.5809604004387</v>
      </c>
      <c r="X70" s="44">
        <v>193.01546040043868</v>
      </c>
      <c r="Y70" s="59">
        <f t="shared" si="29"/>
        <v>-0.11360975080980966</v>
      </c>
      <c r="Z70" s="59">
        <f t="shared" si="30"/>
        <v>0.11175331972960199</v>
      </c>
    </row>
    <row r="71" spans="4:27" x14ac:dyDescent="0.25">
      <c r="D71" s="27" t="s">
        <v>13</v>
      </c>
      <c r="E71" s="14">
        <f>F11</f>
        <v>86.7</v>
      </c>
      <c r="F71" s="15">
        <f t="shared" si="31"/>
        <v>0.42</v>
      </c>
      <c r="G71" s="25">
        <f>E71*F71</f>
        <v>36.414000000000001</v>
      </c>
      <c r="O71" s="71" t="s">
        <v>13</v>
      </c>
      <c r="P71" s="65">
        <v>0.42</v>
      </c>
      <c r="S71" s="71" t="s">
        <v>13</v>
      </c>
      <c r="T71" s="67">
        <v>0.42</v>
      </c>
      <c r="U71" s="46">
        <f t="shared" si="27"/>
        <v>0.378</v>
      </c>
      <c r="V71" s="46">
        <f t="shared" si="28"/>
        <v>0.46200000000000002</v>
      </c>
      <c r="W71" s="52">
        <v>192.79869240043868</v>
      </c>
      <c r="X71" s="52">
        <v>192.80562840043871</v>
      </c>
      <c r="Y71" s="15">
        <f t="shared" si="29"/>
        <v>-6.7821554010850515E-4</v>
      </c>
      <c r="Z71" s="15">
        <f t="shared" si="30"/>
        <v>2.9192948333481741E-3</v>
      </c>
    </row>
    <row r="72" spans="4:27" x14ac:dyDescent="0.25">
      <c r="F72" s="31" t="s">
        <v>14</v>
      </c>
      <c r="G72" s="9">
        <f>SUM(G67:G71)</f>
        <v>2776.5552019230777</v>
      </c>
      <c r="P72" s="68"/>
    </row>
    <row r="73" spans="4:27" x14ac:dyDescent="0.25">
      <c r="F73" s="31"/>
      <c r="G73" s="9"/>
      <c r="O73" s="26"/>
      <c r="P73" s="26"/>
      <c r="T73" s="69" t="s">
        <v>75</v>
      </c>
      <c r="U73" s="69"/>
      <c r="V73" s="69"/>
      <c r="W73" s="57" t="s">
        <v>142</v>
      </c>
      <c r="X73" s="57"/>
      <c r="Y73" s="37" t="s">
        <v>143</v>
      </c>
      <c r="Z73" s="37"/>
    </row>
    <row r="74" spans="4:27" x14ac:dyDescent="0.25">
      <c r="T74" s="17" t="s">
        <v>135</v>
      </c>
      <c r="U74" s="16" t="s">
        <v>136</v>
      </c>
      <c r="V74" s="16" t="s">
        <v>137</v>
      </c>
      <c r="W74" s="16" t="s">
        <v>136</v>
      </c>
      <c r="X74" s="16" t="s">
        <v>137</v>
      </c>
      <c r="Y74" s="16" t="s">
        <v>136</v>
      </c>
      <c r="Z74" s="16" t="s">
        <v>137</v>
      </c>
    </row>
    <row r="75" spans="4:27" x14ac:dyDescent="0.25">
      <c r="D75" t="s">
        <v>75</v>
      </c>
      <c r="F75" s="18">
        <f>P75</f>
        <v>3.1E-2</v>
      </c>
      <c r="O75" s="50" t="s">
        <v>75</v>
      </c>
      <c r="P75" s="79">
        <v>3.1E-2</v>
      </c>
      <c r="S75" s="90" t="s">
        <v>75</v>
      </c>
      <c r="T75" s="80">
        <v>3.1E-2</v>
      </c>
      <c r="U75" s="81">
        <f>T75*(1-($U$3/100))</f>
        <v>2.7900000000000001E-2</v>
      </c>
      <c r="V75" s="81">
        <f t="shared" ref="V75" si="33">T75*(1+($U$3/100))</f>
        <v>3.4100000000000005E-2</v>
      </c>
      <c r="W75" s="56">
        <v>192.69986713601563</v>
      </c>
      <c r="X75" s="56">
        <v>192.90445366486179</v>
      </c>
      <c r="Y75" s="51">
        <f t="shared" ref="Y75" si="34">((W75-$R$2)/$R$2)*100</f>
        <v>-5.193613277198382E-2</v>
      </c>
      <c r="Z75" s="51">
        <f t="shared" ref="Z75" si="35">((X75-$R$2)/$R$2)*100</f>
        <v>5.4177212065238234E-2</v>
      </c>
    </row>
    <row r="76" spans="4:27" x14ac:dyDescent="0.25">
      <c r="F76" s="18"/>
      <c r="P76" s="18"/>
      <c r="Q76" s="74"/>
      <c r="R76" s="74"/>
      <c r="S76" s="74"/>
      <c r="T76" s="75"/>
      <c r="U76" s="76"/>
      <c r="V76" s="76"/>
      <c r="W76" s="77"/>
      <c r="X76" s="77"/>
      <c r="Y76" s="78"/>
      <c r="Z76" s="78"/>
      <c r="AA76" s="74"/>
    </row>
    <row r="77" spans="4:27" x14ac:dyDescent="0.25">
      <c r="T77" s="69" t="s">
        <v>70</v>
      </c>
      <c r="U77" s="69"/>
      <c r="V77" s="69"/>
      <c r="W77" s="57" t="s">
        <v>142</v>
      </c>
      <c r="X77" s="57"/>
      <c r="Y77" s="37" t="s">
        <v>143</v>
      </c>
      <c r="Z77" s="37"/>
    </row>
    <row r="78" spans="4:27" ht="15" customHeight="1" x14ac:dyDescent="0.25">
      <c r="D78" s="29" t="s">
        <v>69</v>
      </c>
      <c r="E78" s="16" t="s">
        <v>40</v>
      </c>
      <c r="F78" s="16" t="s">
        <v>70</v>
      </c>
      <c r="G78" s="17" t="s">
        <v>71</v>
      </c>
      <c r="H78" s="16" t="s">
        <v>73</v>
      </c>
      <c r="I78" s="17" t="s">
        <v>74</v>
      </c>
      <c r="O78" s="29" t="s">
        <v>69</v>
      </c>
      <c r="P78" s="16" t="s">
        <v>70</v>
      </c>
      <c r="S78" s="29" t="s">
        <v>69</v>
      </c>
      <c r="T78" s="17" t="s">
        <v>135</v>
      </c>
      <c r="U78" s="16" t="s">
        <v>136</v>
      </c>
      <c r="V78" s="16" t="s">
        <v>137</v>
      </c>
      <c r="W78" s="16" t="s">
        <v>136</v>
      </c>
      <c r="X78" s="16" t="s">
        <v>137</v>
      </c>
      <c r="Y78" s="16" t="s">
        <v>136</v>
      </c>
      <c r="Z78" s="16" t="s">
        <v>137</v>
      </c>
    </row>
    <row r="79" spans="4:27" x14ac:dyDescent="0.25">
      <c r="D79" s="1" t="s">
        <v>7</v>
      </c>
      <c r="E79" s="23">
        <f>E67+E68</f>
        <v>202.46394230769232</v>
      </c>
      <c r="F79" s="3">
        <f>P79</f>
        <v>25</v>
      </c>
      <c r="G79" s="7">
        <f>E79*F79</f>
        <v>5061.5985576923076</v>
      </c>
      <c r="H79" s="7">
        <f>G79*3.6</f>
        <v>18221.754807692309</v>
      </c>
      <c r="I79" s="7">
        <f>H79*$F$75</f>
        <v>564.87439903846155</v>
      </c>
      <c r="O79" s="1" t="s">
        <v>7</v>
      </c>
      <c r="P79" s="38">
        <v>25</v>
      </c>
      <c r="S79" s="1" t="s">
        <v>7</v>
      </c>
      <c r="T79" s="82">
        <v>25</v>
      </c>
      <c r="U79" s="85">
        <f>T79*(1-($U$3/100))</f>
        <v>22.5</v>
      </c>
      <c r="V79" s="85">
        <f t="shared" ref="V79" si="36">T79*(1+($U$3/100))</f>
        <v>27.500000000000004</v>
      </c>
      <c r="W79" s="87">
        <v>192.74567296053485</v>
      </c>
      <c r="X79" s="87">
        <v>192.85864784034254</v>
      </c>
      <c r="Y79" s="59">
        <f t="shared" ref="Y79" si="37">((W79-$R$2)/$R$2)*100</f>
        <v>-2.817792503379889E-2</v>
      </c>
      <c r="Z79" s="59">
        <f t="shared" ref="Z79" si="38">((X79-$R$2)/$R$2)*100</f>
        <v>3.0419004327038555E-2</v>
      </c>
    </row>
    <row r="80" spans="4:27" x14ac:dyDescent="0.25">
      <c r="D80" s="20" t="s">
        <v>72</v>
      </c>
      <c r="E80" s="14">
        <f>F20</f>
        <v>126</v>
      </c>
      <c r="F80" s="14">
        <f>P80</f>
        <v>35</v>
      </c>
      <c r="G80" s="14">
        <f>E80*F80</f>
        <v>4410</v>
      </c>
      <c r="H80" s="14">
        <f>G80*3.6</f>
        <v>15876</v>
      </c>
      <c r="I80" s="25">
        <f>H80*$F$75</f>
        <v>492.15600000000001</v>
      </c>
      <c r="O80" s="20" t="s">
        <v>72</v>
      </c>
      <c r="P80" s="39">
        <v>35</v>
      </c>
      <c r="S80" s="20" t="s">
        <v>72</v>
      </c>
      <c r="T80" s="83">
        <v>35</v>
      </c>
      <c r="U80" s="86">
        <f>T80*(1-($U$3/100))</f>
        <v>31.5</v>
      </c>
      <c r="V80" s="86">
        <f t="shared" ref="V80" si="39">T80*(1+($U$3/100))</f>
        <v>38.5</v>
      </c>
      <c r="W80" s="52">
        <v>192.75294480043868</v>
      </c>
      <c r="X80" s="52">
        <v>192.85137600043871</v>
      </c>
      <c r="Y80" s="15">
        <f t="shared" ref="Y80" si="40">((W80-$R$2)/$R$2)*100</f>
        <v>-2.4406223838862942E-2</v>
      </c>
      <c r="Z80" s="15">
        <f t="shared" ref="Z80" si="41">((X80-$R$2)/$R$2)*100</f>
        <v>2.6647303132102611E-2</v>
      </c>
    </row>
    <row r="81" spans="4:26" x14ac:dyDescent="0.25">
      <c r="H81" s="31" t="s">
        <v>14</v>
      </c>
      <c r="I81" s="9">
        <f>SUM(I79:I80)</f>
        <v>1057.0303990384616</v>
      </c>
    </row>
    <row r="82" spans="4:26" ht="27.75" customHeight="1" x14ac:dyDescent="0.25">
      <c r="T82" s="69" t="s">
        <v>77</v>
      </c>
      <c r="U82" s="69"/>
      <c r="V82" s="69"/>
      <c r="W82" s="57" t="s">
        <v>142</v>
      </c>
      <c r="X82" s="57"/>
      <c r="Y82" s="37" t="s">
        <v>143</v>
      </c>
      <c r="Z82" s="37"/>
    </row>
    <row r="83" spans="4:26" ht="45" x14ac:dyDescent="0.25">
      <c r="D83" s="29" t="s">
        <v>21</v>
      </c>
      <c r="E83" s="12" t="s">
        <v>77</v>
      </c>
      <c r="F83" s="12" t="s">
        <v>81</v>
      </c>
      <c r="G83" s="12" t="s">
        <v>82</v>
      </c>
      <c r="H83" s="12" t="s">
        <v>83</v>
      </c>
      <c r="O83" s="29" t="s">
        <v>21</v>
      </c>
      <c r="P83" s="16" t="s">
        <v>77</v>
      </c>
      <c r="S83" s="29" t="s">
        <v>21</v>
      </c>
      <c r="T83" s="17" t="s">
        <v>135</v>
      </c>
      <c r="U83" s="16" t="s">
        <v>136</v>
      </c>
      <c r="V83" s="16" t="s">
        <v>137</v>
      </c>
      <c r="W83" s="16" t="s">
        <v>136</v>
      </c>
      <c r="X83" s="16" t="s">
        <v>137</v>
      </c>
      <c r="Y83" s="16" t="s">
        <v>136</v>
      </c>
      <c r="Z83" s="16" t="s">
        <v>137</v>
      </c>
    </row>
    <row r="84" spans="4:26" x14ac:dyDescent="0.25">
      <c r="D84" s="1" t="s">
        <v>0</v>
      </c>
      <c r="E84" s="6">
        <f>P84</f>
        <v>0.02</v>
      </c>
      <c r="F84" s="3">
        <f>P89</f>
        <v>0.90900000000000003</v>
      </c>
      <c r="O84" s="1" t="s">
        <v>0</v>
      </c>
      <c r="P84" s="88">
        <v>0.02</v>
      </c>
      <c r="S84" s="1" t="s">
        <v>0</v>
      </c>
      <c r="T84" s="73">
        <v>0.02</v>
      </c>
      <c r="U84" s="72">
        <f>T84*(1-($U$3/100))</f>
        <v>1.8000000000000002E-2</v>
      </c>
      <c r="V84" s="72">
        <f t="shared" ref="V84" si="42">T84*(1+($U$3/100))</f>
        <v>2.2000000000000002E-2</v>
      </c>
      <c r="W84" s="44">
        <v>193.01567446938401</v>
      </c>
      <c r="X84" s="44">
        <v>192.58864633149335</v>
      </c>
      <c r="Y84" s="59">
        <f t="shared" ref="Y84" si="43">((W84-$R$2)/$R$2)*100</f>
        <v>0.11186435134024805</v>
      </c>
      <c r="Z84" s="59">
        <f t="shared" ref="Z84" si="44">((X84-$R$2)/$R$2)*100</f>
        <v>-0.10962327204702312</v>
      </c>
    </row>
    <row r="85" spans="4:26" x14ac:dyDescent="0.25">
      <c r="D85" s="1" t="s">
        <v>28</v>
      </c>
      <c r="E85" s="3">
        <f>1-E41</f>
        <v>0.16800000000000004</v>
      </c>
      <c r="F85" s="3">
        <f>P90</f>
        <v>0.878</v>
      </c>
      <c r="O85" s="20" t="s">
        <v>28</v>
      </c>
      <c r="P85" s="39">
        <f>1-P41</f>
        <v>0.16800000000000004</v>
      </c>
      <c r="S85" s="20" t="s">
        <v>28</v>
      </c>
      <c r="T85" s="83">
        <f>1-T41</f>
        <v>0.16800000000000004</v>
      </c>
      <c r="U85" s="46">
        <f>1-U41</f>
        <v>0.25119999999999998</v>
      </c>
      <c r="V85" s="46">
        <f>1-V41</f>
        <v>8.4799999999999986E-2</v>
      </c>
      <c r="W85" s="52">
        <f>W41</f>
        <v>194.65327187572564</v>
      </c>
      <c r="X85" s="52">
        <f t="shared" ref="X85:Z85" si="45">X41</f>
        <v>191.1752405083343</v>
      </c>
      <c r="Y85" s="47">
        <f t="shared" si="45"/>
        <v>0.96124059944275131</v>
      </c>
      <c r="Z85" s="47">
        <f t="shared" si="45"/>
        <v>-0.84271757866478914</v>
      </c>
    </row>
    <row r="86" spans="4:26" x14ac:dyDescent="0.25">
      <c r="D86" s="1" t="s">
        <v>13</v>
      </c>
      <c r="F86" s="3">
        <v>4.1820000000000004</v>
      </c>
      <c r="G86" s="3">
        <v>2257</v>
      </c>
      <c r="H86" s="3">
        <v>100</v>
      </c>
    </row>
    <row r="87" spans="4:26" ht="30" customHeight="1" x14ac:dyDescent="0.25">
      <c r="D87" s="1"/>
      <c r="F87" s="3"/>
      <c r="G87" s="3"/>
      <c r="H87" s="3"/>
      <c r="T87" s="69" t="s">
        <v>81</v>
      </c>
      <c r="U87" s="69"/>
      <c r="V87" s="69"/>
      <c r="W87" s="57" t="s">
        <v>142</v>
      </c>
      <c r="X87" s="57"/>
      <c r="Y87" s="37" t="s">
        <v>143</v>
      </c>
      <c r="Z87" s="37"/>
    </row>
    <row r="88" spans="4:26" ht="30" x14ac:dyDescent="0.25">
      <c r="D88" s="1" t="s">
        <v>84</v>
      </c>
      <c r="E88" s="3">
        <f>P94</f>
        <v>25</v>
      </c>
      <c r="H88" s="1" t="s">
        <v>91</v>
      </c>
      <c r="I88" s="3">
        <f>P97</f>
        <v>30</v>
      </c>
      <c r="O88" s="29" t="s">
        <v>21</v>
      </c>
      <c r="P88" s="12" t="s">
        <v>81</v>
      </c>
      <c r="S88" s="29" t="s">
        <v>21</v>
      </c>
      <c r="T88" s="17" t="s">
        <v>135</v>
      </c>
      <c r="U88" s="16" t="s">
        <v>136</v>
      </c>
      <c r="V88" s="16" t="s">
        <v>137</v>
      </c>
      <c r="W88" s="16" t="s">
        <v>136</v>
      </c>
      <c r="X88" s="16" t="s">
        <v>137</v>
      </c>
      <c r="Y88" s="16" t="s">
        <v>136</v>
      </c>
      <c r="Z88" s="16" t="s">
        <v>137</v>
      </c>
    </row>
    <row r="89" spans="4:26" ht="18" x14ac:dyDescent="0.35">
      <c r="D89" s="1" t="s">
        <v>85</v>
      </c>
      <c r="E89" s="3">
        <f>P95</f>
        <v>800</v>
      </c>
      <c r="H89" s="1" t="s">
        <v>94</v>
      </c>
      <c r="I89" s="3">
        <f>P98</f>
        <v>3.32</v>
      </c>
      <c r="O89" s="1" t="s">
        <v>0</v>
      </c>
      <c r="P89" s="38">
        <v>0.90900000000000003</v>
      </c>
      <c r="S89" s="1" t="s">
        <v>0</v>
      </c>
      <c r="T89" s="73">
        <v>0.90900000000000003</v>
      </c>
      <c r="U89" s="72">
        <f>T89*(1-($U$3/100))</f>
        <v>0.81810000000000005</v>
      </c>
      <c r="V89" s="72">
        <f t="shared" ref="V89" si="46">T89*(1+($U$3/100))</f>
        <v>0.99990000000000012</v>
      </c>
      <c r="W89" s="44">
        <v>191.30080987504806</v>
      </c>
      <c r="X89" s="44">
        <v>194.3035109258293</v>
      </c>
      <c r="Y89" s="59">
        <f t="shared" ref="Y89" si="47">((W89-$R$2)/$R$2)*100</f>
        <v>-0.77758823908296237</v>
      </c>
      <c r="Z89" s="59">
        <f t="shared" ref="Z89" si="48">((X89-$R$2)/$R$2)*100</f>
        <v>0.7798293183761873</v>
      </c>
    </row>
    <row r="90" spans="4:26" x14ac:dyDescent="0.25">
      <c r="D90" s="1" t="s">
        <v>86</v>
      </c>
      <c r="E90" s="3">
        <f>P96</f>
        <v>0.8</v>
      </c>
      <c r="O90" s="20" t="s">
        <v>28</v>
      </c>
      <c r="P90" s="39">
        <v>0.878</v>
      </c>
      <c r="S90" s="20" t="s">
        <v>28</v>
      </c>
      <c r="T90" s="83">
        <v>0.878</v>
      </c>
      <c r="U90" s="84">
        <f>T90*(1-($U$3/100))</f>
        <v>0.79020000000000001</v>
      </c>
      <c r="V90" s="84">
        <f t="shared" ref="V90" si="49">T90*(1+($U$3/100))</f>
        <v>0.9658000000000001</v>
      </c>
      <c r="W90" s="52">
        <v>192.44554260043867</v>
      </c>
      <c r="X90" s="52">
        <v>193.15877820043869</v>
      </c>
      <c r="Y90" s="15">
        <f t="shared" ref="Y90" si="50">((W90-$R$2)/$R$2)*100</f>
        <v>-0.18384719894260398</v>
      </c>
      <c r="Z90" s="15">
        <f t="shared" ref="Z90" si="51">((X90-$R$2)/$R$2)*100</f>
        <v>0.18608827823582891</v>
      </c>
    </row>
    <row r="91" spans="4:26" x14ac:dyDescent="0.25">
      <c r="D91" s="1"/>
      <c r="E91" s="3"/>
      <c r="T91" s="18"/>
      <c r="U91" s="78"/>
      <c r="V91" s="78"/>
      <c r="W91" s="89"/>
      <c r="X91" s="89"/>
      <c r="Y91" s="89"/>
      <c r="Z91" s="89"/>
    </row>
    <row r="92" spans="4:26" ht="30" x14ac:dyDescent="0.25">
      <c r="D92" s="29" t="s">
        <v>76</v>
      </c>
      <c r="E92" s="12" t="s">
        <v>78</v>
      </c>
      <c r="F92" s="12" t="s">
        <v>79</v>
      </c>
      <c r="G92" s="12" t="s">
        <v>80</v>
      </c>
      <c r="H92" s="12" t="s">
        <v>87</v>
      </c>
      <c r="I92" s="12" t="s">
        <v>88</v>
      </c>
      <c r="J92" s="12" t="s">
        <v>89</v>
      </c>
      <c r="T92" s="69" t="s">
        <v>153</v>
      </c>
      <c r="U92" s="69"/>
      <c r="V92" s="69"/>
      <c r="W92" s="57" t="s">
        <v>142</v>
      </c>
      <c r="X92" s="57"/>
      <c r="Y92" s="37" t="s">
        <v>143</v>
      </c>
      <c r="Z92" s="37"/>
    </row>
    <row r="93" spans="4:26" x14ac:dyDescent="0.25">
      <c r="D93" s="1" t="s">
        <v>0</v>
      </c>
      <c r="E93" s="7">
        <f>E67</f>
        <v>157.03125</v>
      </c>
      <c r="F93" s="7">
        <f>E93-G93</f>
        <v>153.890625</v>
      </c>
      <c r="G93" s="4">
        <f>E93*E84</f>
        <v>3.140625</v>
      </c>
      <c r="H93" s="7">
        <f>(G93*1000*(($F$86*($H$86-$E$88))+($G$86)))/1000</f>
        <v>8073.4476562500004</v>
      </c>
      <c r="I93" s="7">
        <f>(($E$89-$E$88)*F84*F93*1000)/1000</f>
        <v>108412.09804687501</v>
      </c>
      <c r="J93" s="7">
        <f>H93+I93</f>
        <v>116485.54570312501</v>
      </c>
      <c r="O93" s="29" t="s">
        <v>156</v>
      </c>
      <c r="P93" s="16" t="s">
        <v>153</v>
      </c>
      <c r="S93" s="29" t="s">
        <v>156</v>
      </c>
      <c r="T93" s="17" t="s">
        <v>135</v>
      </c>
      <c r="U93" s="16" t="s">
        <v>136</v>
      </c>
      <c r="V93" s="16" t="s">
        <v>137</v>
      </c>
      <c r="W93" s="16" t="s">
        <v>136</v>
      </c>
      <c r="X93" s="16" t="s">
        <v>137</v>
      </c>
      <c r="Y93" s="16" t="s">
        <v>136</v>
      </c>
      <c r="Z93" s="16" t="s">
        <v>137</v>
      </c>
    </row>
    <row r="94" spans="4:26" x14ac:dyDescent="0.25">
      <c r="D94" s="20" t="s">
        <v>28</v>
      </c>
      <c r="E94" s="47">
        <f>E68</f>
        <v>45.432692307692307</v>
      </c>
      <c r="F94" s="14">
        <f>E94-G94</f>
        <v>37.799999999999997</v>
      </c>
      <c r="G94" s="15">
        <f>E94*E85</f>
        <v>7.6326923076923094</v>
      </c>
      <c r="H94" s="25">
        <f>(G94*1000*(($F$86*($H$86-$E$88))+($G$86)))/1000</f>
        <v>19620.980480769234</v>
      </c>
      <c r="I94" s="25">
        <f>(($E$89-$E$88)*F85*F94*1000)/1000</f>
        <v>25721.01</v>
      </c>
      <c r="J94" s="25">
        <f>H94+I94</f>
        <v>45341.990480769236</v>
      </c>
      <c r="O94" s="1" t="s">
        <v>154</v>
      </c>
      <c r="P94" s="38">
        <v>25</v>
      </c>
      <c r="S94" s="1" t="s">
        <v>154</v>
      </c>
      <c r="T94" s="41">
        <v>25</v>
      </c>
      <c r="U94" s="85">
        <f t="shared" ref="U94:U99" si="52">T94*(1-($U$3/100))</f>
        <v>22.5</v>
      </c>
      <c r="V94" s="85">
        <f t="shared" ref="V94:V99" si="53">T94*(1+($U$3/100))</f>
        <v>27.500000000000004</v>
      </c>
      <c r="W94" s="44">
        <v>192.87759667652941</v>
      </c>
      <c r="X94" s="44">
        <v>192.72672412434792</v>
      </c>
      <c r="Y94" s="59">
        <f t="shared" ref="Y94:Y99" si="54">((W94-$R$2)/$R$2)*100</f>
        <v>4.024723886379452E-2</v>
      </c>
      <c r="Z94" s="59">
        <f t="shared" ref="Z94:Z99" si="55">((X94-$R$2)/$R$2)*100</f>
        <v>-3.8006159570584334E-2</v>
      </c>
    </row>
    <row r="95" spans="4:26" x14ac:dyDescent="0.25">
      <c r="D95" s="1"/>
      <c r="I95" s="28" t="s">
        <v>89</v>
      </c>
      <c r="J95" s="7">
        <f>SUM(J93:J94)</f>
        <v>161827.53618389426</v>
      </c>
      <c r="O95" s="1" t="s">
        <v>155</v>
      </c>
      <c r="P95" s="38">
        <v>800</v>
      </c>
      <c r="S95" s="1" t="s">
        <v>155</v>
      </c>
      <c r="T95" s="41">
        <v>800</v>
      </c>
      <c r="U95" s="60">
        <f t="shared" si="52"/>
        <v>720</v>
      </c>
      <c r="V95" s="60">
        <f t="shared" si="53"/>
        <v>880.00000000000011</v>
      </c>
      <c r="W95" s="44">
        <v>190.88679730918869</v>
      </c>
      <c r="X95" s="44">
        <v>194.7175234916887</v>
      </c>
      <c r="Y95" s="59">
        <f t="shared" si="54"/>
        <v>-0.99232504710130565</v>
      </c>
      <c r="Z95" s="59">
        <f t="shared" si="55"/>
        <v>0.99456612639454534</v>
      </c>
    </row>
    <row r="96" spans="4:26" x14ac:dyDescent="0.25">
      <c r="I96" s="28" t="s">
        <v>90</v>
      </c>
      <c r="J96" s="7">
        <f>J95/E90</f>
        <v>202284.42022986783</v>
      </c>
      <c r="O96" s="1" t="s">
        <v>86</v>
      </c>
      <c r="P96" s="38">
        <v>0.8</v>
      </c>
      <c r="S96" s="1" t="s">
        <v>86</v>
      </c>
      <c r="T96" s="41">
        <v>0.8</v>
      </c>
      <c r="U96" s="58">
        <f t="shared" si="52"/>
        <v>0.72000000000000008</v>
      </c>
      <c r="V96" s="58">
        <f t="shared" si="53"/>
        <v>0.88000000000000012</v>
      </c>
      <c r="W96" s="44">
        <v>195.28950956770967</v>
      </c>
      <c r="X96" s="44">
        <v>190.7670565363079</v>
      </c>
      <c r="Y96" s="59">
        <f t="shared" si="54"/>
        <v>1.2912394023390354</v>
      </c>
      <c r="Z96" s="59">
        <f t="shared" si="55"/>
        <v>-1.0544312571017149</v>
      </c>
    </row>
    <row r="97" spans="4:26" x14ac:dyDescent="0.25">
      <c r="I97" s="28" t="s">
        <v>92</v>
      </c>
      <c r="J97" s="7">
        <f>(J96/I88)</f>
        <v>6742.8140076622612</v>
      </c>
      <c r="O97" s="1" t="s">
        <v>91</v>
      </c>
      <c r="P97" s="38">
        <v>30</v>
      </c>
      <c r="S97" s="1" t="s">
        <v>91</v>
      </c>
      <c r="T97" s="41">
        <v>30</v>
      </c>
      <c r="U97" s="60">
        <f t="shared" si="52"/>
        <v>27</v>
      </c>
      <c r="V97" s="60">
        <f t="shared" si="53"/>
        <v>33</v>
      </c>
      <c r="W97" s="44">
        <v>205.89639081770969</v>
      </c>
      <c r="X97" s="44">
        <v>182.08869914994426</v>
      </c>
      <c r="Y97" s="59">
        <f t="shared" si="54"/>
        <v>6.7927338266129009</v>
      </c>
      <c r="Z97" s="59">
        <f t="shared" si="55"/>
        <v>-5.5556539678712396</v>
      </c>
    </row>
    <row r="98" spans="4:26" ht="18" x14ac:dyDescent="0.35">
      <c r="I98" s="28" t="s">
        <v>95</v>
      </c>
      <c r="J98" s="7">
        <f>J97*I89</f>
        <v>22386.142505438707</v>
      </c>
      <c r="O98" s="1" t="s">
        <v>94</v>
      </c>
      <c r="P98" s="38">
        <v>3.32</v>
      </c>
      <c r="S98" s="1" t="s">
        <v>94</v>
      </c>
      <c r="T98" s="41">
        <v>3.32</v>
      </c>
      <c r="U98" s="58">
        <f t="shared" si="52"/>
        <v>2.988</v>
      </c>
      <c r="V98" s="58">
        <f t="shared" si="53"/>
        <v>3.6520000000000001</v>
      </c>
      <c r="W98" s="44">
        <v>181.08834584041017</v>
      </c>
      <c r="X98" s="44">
        <v>204.51597496046722</v>
      </c>
      <c r="Y98" s="59">
        <f t="shared" si="54"/>
        <v>-6.0745094188743982</v>
      </c>
      <c r="Z98" s="59">
        <f t="shared" si="55"/>
        <v>6.0767504981676375</v>
      </c>
    </row>
    <row r="99" spans="4:26" x14ac:dyDescent="0.25">
      <c r="O99" s="20" t="s">
        <v>152</v>
      </c>
      <c r="P99" s="39">
        <v>4.5</v>
      </c>
      <c r="S99" s="20" t="s">
        <v>152</v>
      </c>
      <c r="T99" s="42">
        <v>4.5</v>
      </c>
      <c r="U99" s="46">
        <f t="shared" si="52"/>
        <v>4.05</v>
      </c>
      <c r="V99" s="46">
        <f t="shared" si="53"/>
        <v>4.95</v>
      </c>
      <c r="W99" s="52">
        <v>183.25596727543868</v>
      </c>
      <c r="X99" s="52">
        <v>202.34835352543865</v>
      </c>
      <c r="Y99" s="15">
        <f t="shared" si="54"/>
        <v>-4.9502244421998611</v>
      </c>
      <c r="Z99" s="15">
        <f t="shared" si="55"/>
        <v>4.9524655214930711</v>
      </c>
    </row>
    <row r="100" spans="4:26" x14ac:dyDescent="0.25">
      <c r="E100" s="36" t="s">
        <v>15</v>
      </c>
      <c r="F100" s="36"/>
      <c r="G100" s="36"/>
    </row>
    <row r="101" spans="4:26" x14ac:dyDescent="0.25">
      <c r="E101" s="16" t="s">
        <v>104</v>
      </c>
      <c r="F101" s="16" t="s">
        <v>97</v>
      </c>
      <c r="G101" s="16" t="s">
        <v>98</v>
      </c>
    </row>
    <row r="102" spans="4:26" x14ac:dyDescent="0.25">
      <c r="E102" s="23">
        <f>F93</f>
        <v>153.890625</v>
      </c>
      <c r="F102" s="23">
        <f>E102*E33</f>
        <v>86.178750000000008</v>
      </c>
      <c r="G102" s="23">
        <f>E102*(1-E27)</f>
        <v>67.711874999999992</v>
      </c>
    </row>
    <row r="106" spans="4:26" x14ac:dyDescent="0.25">
      <c r="E106" s="1" t="s">
        <v>91</v>
      </c>
      <c r="F106" s="3">
        <f>I88</f>
        <v>30</v>
      </c>
    </row>
    <row r="107" spans="4:26" ht="18" x14ac:dyDescent="0.35">
      <c r="E107" s="1" t="s">
        <v>94</v>
      </c>
      <c r="F107" s="3">
        <f>I89</f>
        <v>3.32</v>
      </c>
    </row>
    <row r="109" spans="4:26" x14ac:dyDescent="0.25">
      <c r="D109" s="31" t="s">
        <v>99</v>
      </c>
    </row>
    <row r="110" spans="4:26" ht="30" x14ac:dyDescent="0.25">
      <c r="D110" s="12" t="s">
        <v>100</v>
      </c>
      <c r="E110" s="12" t="s">
        <v>101</v>
      </c>
      <c r="F110" s="12" t="s">
        <v>102</v>
      </c>
      <c r="G110" s="12" t="s">
        <v>93</v>
      </c>
      <c r="H110" s="12" t="s">
        <v>103</v>
      </c>
    </row>
    <row r="111" spans="4:26" x14ac:dyDescent="0.25">
      <c r="D111" s="23">
        <f>F93+F94</f>
        <v>191.69062500000001</v>
      </c>
      <c r="E111" s="3">
        <f>P99</f>
        <v>4.5</v>
      </c>
      <c r="F111" s="7">
        <f>D111*1000*E111</f>
        <v>862607.8125</v>
      </c>
      <c r="G111" s="7">
        <f>F111/F106/1000</f>
        <v>28.75359375</v>
      </c>
      <c r="H111" s="23">
        <f>G111*F107</f>
        <v>95.461931249999992</v>
      </c>
    </row>
    <row r="115" spans="4:7" ht="34.5" x14ac:dyDescent="0.35">
      <c r="D115" s="29" t="s">
        <v>20</v>
      </c>
      <c r="E115" s="12" t="s">
        <v>95</v>
      </c>
      <c r="F115" s="12" t="s">
        <v>109</v>
      </c>
      <c r="G115" s="16" t="s">
        <v>110</v>
      </c>
    </row>
    <row r="116" spans="4:7" x14ac:dyDescent="0.25">
      <c r="D116" s="30" t="s">
        <v>105</v>
      </c>
      <c r="E116" s="7">
        <f>G72</f>
        <v>2776.5552019230777</v>
      </c>
      <c r="F116" s="23">
        <f>E116/$E$4</f>
        <v>2.7765552019230775</v>
      </c>
      <c r="G116" s="23">
        <f>(F116/$F$122)*100</f>
        <v>1.4401058557416249</v>
      </c>
    </row>
    <row r="117" spans="4:7" x14ac:dyDescent="0.25">
      <c r="D117" s="1" t="s">
        <v>106</v>
      </c>
      <c r="E117" s="7">
        <f>L61</f>
        <v>3408.6260440384613</v>
      </c>
      <c r="F117" s="23">
        <f t="shared" ref="F117:F122" si="56">E117/$E$4</f>
        <v>3.4086260440384613</v>
      </c>
      <c r="G117" s="23">
        <f t="shared" ref="G117:G121" si="57">(F117/$F$122)*100</f>
        <v>1.7679397559440966</v>
      </c>
    </row>
    <row r="118" spans="4:7" x14ac:dyDescent="0.25">
      <c r="D118" s="1" t="s">
        <v>107</v>
      </c>
      <c r="E118" s="7">
        <f>I79</f>
        <v>564.87439903846155</v>
      </c>
      <c r="F118" s="23">
        <f t="shared" si="56"/>
        <v>0.56487439903846159</v>
      </c>
      <c r="G118" s="23">
        <f t="shared" si="57"/>
        <v>0.29298136383184242</v>
      </c>
    </row>
    <row r="119" spans="4:7" x14ac:dyDescent="0.25">
      <c r="D119" s="1" t="s">
        <v>76</v>
      </c>
      <c r="E119" s="7">
        <f>J98</f>
        <v>22386.142505438707</v>
      </c>
      <c r="F119" s="23">
        <f t="shared" si="56"/>
        <v>22.386142505438706</v>
      </c>
      <c r="G119" s="23">
        <f t="shared" si="57"/>
        <v>11.610939659049469</v>
      </c>
    </row>
    <row r="120" spans="4:7" x14ac:dyDescent="0.25">
      <c r="D120" s="1" t="s">
        <v>96</v>
      </c>
      <c r="E120" s="7">
        <f>(G102+H111)*1000</f>
        <v>163173.80624999999</v>
      </c>
      <c r="F120" s="23">
        <f t="shared" si="56"/>
        <v>163.17380624999998</v>
      </c>
      <c r="G120" s="23">
        <f t="shared" si="57"/>
        <v>84.632768590921202</v>
      </c>
    </row>
    <row r="121" spans="4:7" x14ac:dyDescent="0.25">
      <c r="D121" s="1" t="s">
        <v>108</v>
      </c>
      <c r="E121" s="7">
        <f>I80</f>
        <v>492.15600000000001</v>
      </c>
      <c r="F121" s="23">
        <f t="shared" si="56"/>
        <v>0.49215599999999998</v>
      </c>
      <c r="G121" s="23">
        <f t="shared" si="57"/>
        <v>0.25526477451176954</v>
      </c>
    </row>
    <row r="122" spans="4:7" x14ac:dyDescent="0.25">
      <c r="D122" s="1" t="s">
        <v>14</v>
      </c>
      <c r="E122" s="7">
        <f>SUM(E116:E121)</f>
        <v>192802.16040043868</v>
      </c>
      <c r="F122" s="23">
        <f t="shared" si="56"/>
        <v>192.80216040043868</v>
      </c>
    </row>
    <row r="125" spans="4:7" x14ac:dyDescent="0.25">
      <c r="D125" s="1" t="s">
        <v>118</v>
      </c>
      <c r="E125" s="7">
        <f>G111+(J97/1000)</f>
        <v>35.496407757662261</v>
      </c>
    </row>
    <row r="126" spans="4:7" x14ac:dyDescent="0.25">
      <c r="D126" s="1" t="s">
        <v>117</v>
      </c>
      <c r="E126" s="7">
        <f>292*1.46</f>
        <v>426.32</v>
      </c>
    </row>
    <row r="127" spans="4:7" x14ac:dyDescent="0.25">
      <c r="D127" s="1" t="s">
        <v>119</v>
      </c>
      <c r="E127" s="7">
        <f>E125*E126</f>
        <v>15132.828555246575</v>
      </c>
    </row>
    <row r="128" spans="4:7" x14ac:dyDescent="0.25">
      <c r="D128" s="1" t="s">
        <v>121</v>
      </c>
      <c r="E128" s="3">
        <v>75</v>
      </c>
    </row>
    <row r="129" spans="4:5" x14ac:dyDescent="0.25">
      <c r="D129" s="1" t="s">
        <v>122</v>
      </c>
      <c r="E129" s="3">
        <v>2</v>
      </c>
    </row>
    <row r="130" spans="4:5" x14ac:dyDescent="0.25">
      <c r="D130" s="1" t="s">
        <v>123</v>
      </c>
      <c r="E130" s="23">
        <f>(E122/1000)/E129</f>
        <v>96.40108020021934</v>
      </c>
    </row>
    <row r="131" spans="4:5" x14ac:dyDescent="0.25">
      <c r="D131" s="1" t="s">
        <v>124</v>
      </c>
      <c r="E131" s="7">
        <f>E128*E130</f>
        <v>7230.0810150164507</v>
      </c>
    </row>
    <row r="133" spans="4:5" x14ac:dyDescent="0.25">
      <c r="D133" s="1" t="s">
        <v>125</v>
      </c>
      <c r="E133" s="7">
        <f>E127+E131</f>
        <v>22362.909570263026</v>
      </c>
    </row>
    <row r="134" spans="4:5" x14ac:dyDescent="0.25">
      <c r="D134" s="1" t="s">
        <v>126</v>
      </c>
      <c r="E134" s="7">
        <f>E133/1000</f>
        <v>22.362909570263025</v>
      </c>
    </row>
    <row r="136" spans="4:5" x14ac:dyDescent="0.25">
      <c r="D136" t="s">
        <v>120</v>
      </c>
    </row>
  </sheetData>
  <mergeCells count="40">
    <mergeCell ref="T92:V92"/>
    <mergeCell ref="W92:X92"/>
    <mergeCell ref="Y92:Z92"/>
    <mergeCell ref="T82:V82"/>
    <mergeCell ref="W82:X82"/>
    <mergeCell ref="Y82:Z82"/>
    <mergeCell ref="T87:V87"/>
    <mergeCell ref="W87:X87"/>
    <mergeCell ref="Y87:Z87"/>
    <mergeCell ref="Y65:Z65"/>
    <mergeCell ref="T73:V73"/>
    <mergeCell ref="W73:X73"/>
    <mergeCell ref="Y73:Z73"/>
    <mergeCell ref="T77:V77"/>
    <mergeCell ref="W77:X77"/>
    <mergeCell ref="Y77:Z77"/>
    <mergeCell ref="T31:V31"/>
    <mergeCell ref="W31:X31"/>
    <mergeCell ref="Y31:Z31"/>
    <mergeCell ref="J52:K52"/>
    <mergeCell ref="E100:G100"/>
    <mergeCell ref="T39:V39"/>
    <mergeCell ref="W39:X39"/>
    <mergeCell ref="Y39:Z39"/>
    <mergeCell ref="W44:X44"/>
    <mergeCell ref="Y44:Z44"/>
    <mergeCell ref="T44:V44"/>
    <mergeCell ref="T52:V52"/>
    <mergeCell ref="W52:X52"/>
    <mergeCell ref="Y52:Z52"/>
    <mergeCell ref="T65:V65"/>
    <mergeCell ref="W65:X65"/>
    <mergeCell ref="Y5:Z5"/>
    <mergeCell ref="T15:V15"/>
    <mergeCell ref="W15:X15"/>
    <mergeCell ref="Y15:Z15"/>
    <mergeCell ref="P15:Q15"/>
    <mergeCell ref="P5:Q5"/>
    <mergeCell ref="W5:X5"/>
    <mergeCell ref="T5:V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 case</vt:lpstr>
      <vt:lpstr>Natural gas</vt:lpstr>
      <vt:lpstr>Efficient kiln</vt:lpstr>
      <vt:lpstr>Sensitivity set up</vt:lpstr>
      <vt:lpstr>Sensitivity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Lay</dc:creator>
  <cp:lastModifiedBy>Mark Lay</cp:lastModifiedBy>
  <dcterms:created xsi:type="dcterms:W3CDTF">2018-05-10T17:15:08Z</dcterms:created>
  <dcterms:modified xsi:type="dcterms:W3CDTF">2022-05-05T00:22:18Z</dcterms:modified>
</cp:coreProperties>
</file>