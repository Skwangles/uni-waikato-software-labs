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Pedigree scoring" sheetId="2"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<sst xmlns="http://schemas.openxmlformats.org/spreadsheetml/2006/main" count="359" uniqueCount="199">
  <si>
    <t xml:space="preserve">Variation</t>
  </si>
  <si>
    <t xml:space="preserve">Weight breakdown of materials per device</t>
  </si>
  <si>
    <t xml:space="preserve">Graphics Card</t>
  </si>
  <si>
    <t xml:space="preserve">Pedigree ranking (1 = excellent, 5 = poor)</t>
  </si>
  <si>
    <t xml:space="preserve">Platform</t>
  </si>
  <si>
    <t xml:space="preserve">kg mass</t>
  </si>
  <si>
    <t xml:space="preserve">Plastic</t>
  </si>
  <si>
    <t xml:space="preserve">Sensitivity</t>
  </si>
  <si>
    <t xml:space="preserve">Platform composition (kg/product)</t>
  </si>
  <si>
    <t xml:space="preserve">CO2e/kiwifruit over lifetime</t>
  </si>
  <si>
    <t xml:space="preserve">% different to base</t>
  </si>
  <si>
    <t xml:space="preserve">Reliability</t>
  </si>
  <si>
    <t xml:space="preserve">Completeness</t>
  </si>
  <si>
    <t xml:space="preserve">Temporal</t>
  </si>
  <si>
    <t xml:space="preserve">Geographical</t>
  </si>
  <si>
    <t xml:space="preserve">Technological</t>
  </si>
  <si>
    <t xml:space="preserve">Pedigree ranking</t>
  </si>
  <si>
    <t xml:space="preserve">Uncertainty score (SDg95)</t>
  </si>
  <si>
    <t xml:space="preserve">Sensitivity (%)</t>
  </si>
  <si>
    <t xml:space="preserve">Overall</t>
  </si>
  <si>
    <t xml:space="preserve">Material</t>
  </si>
  <si>
    <t xml:space="preserve">Percentage (%)</t>
  </si>
  <si>
    <t xml:space="preserve">Mass (kg)</t>
  </si>
  <si>
    <t xml:space="preserve">Aluminium</t>
  </si>
  <si>
    <t xml:space="preserve">Calculation Notes</t>
  </si>
  <si>
    <t xml:space="preserve">Base</t>
  </si>
  <si>
    <t xml:space="preserve">Low</t>
  </si>
  <si>
    <t xml:space="preserve">High</t>
  </si>
  <si>
    <t xml:space="preserve">Platform Materials</t>
  </si>
  <si>
    <t xml:space="preserve">Copper</t>
  </si>
  <si>
    <t xml:space="preserve">Assuming remaining weight after tallying everything is Aluminium plating, linear actuators, motors, air compressor, etc</t>
  </si>
  <si>
    <t xml:space="preserve">Data approximated with informed specifications, NZ aluminium emission data supplied</t>
  </si>
  <si>
    <t xml:space="preserve">Mild steel</t>
  </si>
  <si>
    <t xml:space="preserve">Stated in Jones, M. et al (2019)</t>
  </si>
  <si>
    <t xml:space="preserve">Exact measure was specified, data drawn from official sources using UK emissions data, </t>
  </si>
  <si>
    <t xml:space="preserve">Assuming approx 8% of system is controller components generalised to be copper, &amp; 24m of cable equates to approx .6612kg/m at assumed 5mm gauge</t>
  </si>
  <si>
    <t xml:space="preserve">uses UK conversion factors 2022</t>
  </si>
  <si>
    <t xml:space="preserve">Battery</t>
  </si>
  <si>
    <t xml:space="preserve">2x16 cell WINSTON TSWB-LYP90AHA LiFeYPO4 battery packs</t>
  </si>
  <si>
    <t xml:space="preserve">Data provided by manufacturer, uses UK conversion factors 2022</t>
  </si>
  <si>
    <t xml:space="preserve">Cast iron</t>
  </si>
  <si>
    <t xml:space="preserve">Copper (Mass of total)</t>
  </si>
  <si>
    <t xml:space="preserve">Honda stated casing is cast iron, will assume majority of the motor is cast iron</t>
  </si>
  <si>
    <t xml:space="preserve">Tyre</t>
  </si>
  <si>
    <t xml:space="preserve">Cabling</t>
  </si>
  <si>
    <t xml:space="preserve">4x Quad bikes are similar tyres, around 13kg</t>
  </si>
  <si>
    <t xml:space="preserve">Kiwifruit Picker Attachment</t>
  </si>
  <si>
    <t xml:space="preserve">Gripper</t>
  </si>
  <si>
    <t xml:space="preserve">Kg CO2e/kiwifruit over lifetime</t>
  </si>
  <si>
    <t xml:space="preserve">Silicone</t>
  </si>
  <si>
    <t xml:space="preserve">Attachment Materials</t>
  </si>
  <si>
    <t xml:space="preserve">67kg (4x28.6kg) worth of Aluminium arms (Wyatt, H., et al. 2017) + approx. 200k worth of Aluminium casing + 40% of graphics card</t>
  </si>
  <si>
    <t xml:space="preserve">Uses UK conversion factors 2022, levels were estimated, covers some sites, and emissions are specific to New Zealand in recent years</t>
  </si>
  <si>
    <t xml:space="preserve">4x (approx.) 2kg per LED lights, camera covers, webcam mostly plastic </t>
  </si>
  <si>
    <t xml:space="preserve">Plastics used approximated based on observations, and individual impacts were generalised. Uses UK conversion factors 2022</t>
  </si>
  <si>
    <t xml:space="preserve">Lighting</t>
  </si>
  <si>
    <t xml:space="preserve">Approx 40% of the weight of the gripper</t>
  </si>
  <si>
    <t xml:space="preserve">Exact type found, manfuacturer specified information, and relevant New Zealand related statistics</t>
  </si>
  <si>
    <t xml:space="preserve">Assuming equivalent to platform + 30% of graphics card</t>
  </si>
  <si>
    <t xml:space="preserve">Mass approximated, statistics within 2022 from UK</t>
  </si>
  <si>
    <t xml:space="preserve">kWh per product</t>
  </si>
  <si>
    <t xml:space="preserve">Combined Material Inputs Used</t>
  </si>
  <si>
    <t xml:space="preserve">Equipment</t>
  </si>
  <si>
    <t xml:space="preserve">Equipment Usage</t>
  </si>
  <si>
    <t xml:space="preserve">Complete Product</t>
  </si>
  <si>
    <t xml:space="preserve">Mass (tonnes)</t>
  </si>
  <si>
    <t xml:space="preserve">kg CO2e</t>
  </si>
  <si>
    <t xml:space="preserve">kgCO2e/tonne</t>
  </si>
  <si>
    <t xml:space="preserve">Statistics provided by manufacturer, and electricity use emissions provided by New Zealand Government</t>
  </si>
  <si>
    <t xml:space="preserve">NZAS 2021 t CO2 emissions/aluminium factor</t>
  </si>
  <si>
    <t xml:space="preserve">Statistics estimated from professional’s consumption statistics, and electricity use emissions provided by New Zealand Government</t>
  </si>
  <si>
    <t xml:space="preserve">Average Plastics rigid conversion factor used</t>
  </si>
  <si>
    <t xml:space="preserve">Machining/Fabrication complexity provided by informed estimation of products needed. Statistics provided by manufacturer, and electricity use emissions provided by New Zealand Government</t>
  </si>
  <si>
    <t xml:space="preserve">UK Conversion factors ‘Metals’</t>
  </si>
  <si>
    <t xml:space="preserve">Complexity of print approximated from weighing and visually inspecting. Performance statistics provided by manufacturer, and electricity use emissions provided by New Zealand Government</t>
  </si>
  <si>
    <t xml:space="preserve">Tyres</t>
  </si>
  <si>
    <t xml:space="preserve">UK Conversion factors ‘Tyres’</t>
  </si>
  <si>
    <t xml:space="preserve">Cast Iron</t>
  </si>
  <si>
    <t xml:space="preserve">Sævarsdottir, G (2021) silicon kg CO2/kg factor</t>
  </si>
  <si>
    <t xml:space="preserve">Batteries UK conversion factor</t>
  </si>
  <si>
    <t xml:space="preserve">Transport distances</t>
  </si>
  <si>
    <t xml:space="preserve">Transport</t>
  </si>
  <si>
    <t xml:space="preserve">Emission data provided by ministry for environment in 2020, and distances provided by Google Maps</t>
  </si>
  <si>
    <t xml:space="preserve">Total</t>
  </si>
  <si>
    <t xml:space="preserve">Emissions from electricity, NZ (kg CO2/MJ)</t>
  </si>
  <si>
    <t xml:space="preserve">Emission data provided by ministry for environment in 2020, and distances provided by ShippingTraffic.net</t>
  </si>
  <si>
    <t xml:space="preserve">Electricity consumption</t>
  </si>
  <si>
    <t xml:space="preserve">Power (kWhr)</t>
  </si>
  <si>
    <t xml:space="preserve">Power (MJ)</t>
  </si>
  <si>
    <t xml:space="preserve">CO2 emissions (kg CO2)</t>
  </si>
  <si>
    <t xml:space="preserve">Calculation notes</t>
  </si>
  <si>
    <t xml:space="preserve">Laser cutting</t>
  </si>
  <si>
    <t xml:space="preserve">Assuming on average it takes 2minutes to cut out around 10kg worth of metal, based on observing laser cutters working, and their speed at varying thicknesses. Assuming the use of Stainless Design’s 6kW laser cutter. Assuming it takes approx 10 minutes to cut all aluminium pieces needed, as laser cutters are very quick and the designs of the pieces are relatively simple. Assume it will take around 10 mins to just do the mild steel due to its higher thickness and detail.</t>
  </si>
  <si>
    <t xml:space="preserve">Welding</t>
  </si>
  <si>
    <t xml:space="preserve">Welding only occurs for the chassis, so we will only use that mass. Welding academy provides an approximate usage of electricity per hour of 9kW. Middle of the road welding, Mark lay has quoted that around 2 days worth of 8hours welding would be the approximate time to weld 9kW * (8*2) = </t>
  </si>
  <si>
    <t xml:space="preserve">Fabrication/Machining</t>
  </si>
  <si>
    <t xml:space="preserve">Engine is machined, plus approx 10% of the Aluminium (bearnings, motors, etc).Doosan DNM6700XL used by stainless design with max power of 18.5kW, will assume the machine reaches approx 30% of the max spindle power as the materials are relatively soft, noted in millscnc.co.uk. Will assume an engine takes about an hour to cnc mill, and all other ball bearings, components, etc will take an additional 1 hour.</t>
  </si>
  <si>
    <t xml:space="preserve">3D Printing</t>
  </si>
  <si>
    <t xml:space="preserve">150W Rated Resin printer, for example, Creality Halot mage pro. The example gripper in my possesion is around 20cm tall, the regular printing speed rated by creality is 7cm per hour, which is approx 20/7 * .15kW</t>
  </si>
  <si>
    <t xml:space="preserve">Transportation</t>
  </si>
  <si>
    <t xml:space="preserve">Distances</t>
  </si>
  <si>
    <t xml:space="preserve">km</t>
  </si>
  <si>
    <t xml:space="preserve">Origin</t>
  </si>
  <si>
    <t xml:space="preserve">Destination</t>
  </si>
  <si>
    <t xml:space="preserve">Distance (km)</t>
  </si>
  <si>
    <t xml:space="preserve">Transport mode</t>
  </si>
  <si>
    <t xml:space="preserve">(g CO2/tonne.km)</t>
  </si>
  <si>
    <t xml:space="preserve">(kg CO2/tonne)</t>
  </si>
  <si>
    <t xml:space="preserve">kg CO2</t>
  </si>
  <si>
    <t xml:space="preserve">Invercargill, Aluminium smelter</t>
  </si>
  <si>
    <t xml:space="preserve">Stainless Design, Hamilton</t>
  </si>
  <si>
    <t xml:space="preserve">Truck</t>
  </si>
  <si>
    <t xml:space="preserve">NZ aluminium</t>
  </si>
  <si>
    <t xml:space="preserve">Stainless Designs Hamilton</t>
  </si>
  <si>
    <t xml:space="preserve">Robotics Plus, Tauranga</t>
  </si>
  <si>
    <t xml:space="preserve">Supercheap Auto, Tauranga</t>
  </si>
  <si>
    <t xml:space="preserve">Light was majority of the weight, assumed so</t>
  </si>
  <si>
    <t xml:space="preserve">Bridgestone, Tauranga</t>
  </si>
  <si>
    <t xml:space="preserve">Tyres distributor</t>
  </si>
  <si>
    <t xml:space="preserve">Resin Craft, Hamilton</t>
  </si>
  <si>
    <t xml:space="preserve">Got from Smooth-on distributor in Ham – referenced from ‘design report’</t>
  </si>
  <si>
    <t xml:space="preserve">Honda Engine (Cast Iron)</t>
  </si>
  <si>
    <t xml:space="preserve">Port of Tauranga</t>
  </si>
  <si>
    <t xml:space="preserve">Honda has Thailand factory, which is closest, assumed that was the origin</t>
  </si>
  <si>
    <t xml:space="preserve">Thailand, Port of Bangkok</t>
  </si>
  <si>
    <t xml:space="preserve">Ship</t>
  </si>
  <si>
    <t xml:space="preserve">China is largest consumer and producer</t>
  </si>
  <si>
    <t xml:space="preserve">Port of Shanghai</t>
  </si>
  <si>
    <t xml:space="preserve">Gmaps measured distances from Shanghai, largest chinese port</t>
  </si>
  <si>
    <t xml:space="preserve">Port of Hamburg </t>
  </si>
  <si>
    <t xml:space="preserve">Prague, Czech Republic</t>
  </si>
  <si>
    <t xml:space="preserve">Port of Hamburg</t>
  </si>
  <si>
    <t xml:space="preserve">Train</t>
  </si>
  <si>
    <t xml:space="preserve">Gmaps measured distances</t>
  </si>
  <si>
    <t xml:space="preserve">Specification table</t>
  </si>
  <si>
    <t xml:space="preserve">Specification Name</t>
  </si>
  <si>
    <t xml:space="preserve">Quantity</t>
  </si>
  <si>
    <t xml:space="preserve">Unit</t>
  </si>
  <si>
    <t xml:space="preserve">Harvesting capacity (fruit per hour)</t>
  </si>
  <si>
    <t xml:space="preserve">Kiwifruit /h</t>
  </si>
  <si>
    <r>
      <rPr>
        <b val="true"/>
        <sz val="11"/>
        <color rgb="FF000000"/>
        <rFont val="Calibri"/>
        <family val="2"/>
        <charset val="1"/>
      </rPr>
      <t xml:space="preserve">gCO</t>
    </r>
    <r>
      <rPr>
        <b val="true"/>
        <vertAlign val="subscript"/>
        <sz val="11"/>
        <color rgb="FF000000"/>
        <rFont val="Calibri"/>
        <family val="2"/>
        <charset val="1"/>
      </rPr>
      <t xml:space="preserve">2</t>
    </r>
    <r>
      <rPr>
        <b val="true"/>
        <sz val="11"/>
        <color rgb="FF000000"/>
        <rFont val="Calibri"/>
        <family val="2"/>
        <charset val="1"/>
      </rPr>
      <t xml:space="preserve">/tonne.km</t>
    </r>
  </si>
  <si>
    <t xml:space="preserve">Type of fruit</t>
  </si>
  <si>
    <t xml:space="preserve">Kiwifruit</t>
  </si>
  <si>
    <t xml:space="preserve">-</t>
  </si>
  <si>
    <t xml:space="preserve">Rail</t>
  </si>
  <si>
    <t xml:space="preserve">Kiwifruit Carrying capacity</t>
  </si>
  <si>
    <t xml:space="preserve">kg</t>
  </si>
  <si>
    <t xml:space="preserve">Small container vessel</t>
  </si>
  <si>
    <t xml:space="preserve">Energy consumption (platform)</t>
  </si>
  <si>
    <t xml:space="preserve">kW</t>
  </si>
  <si>
    <t xml:space="preserve">Road transport</t>
  </si>
  <si>
    <t xml:space="preserve">Energy consumption (attachment)</t>
  </si>
  <si>
    <t xml:space="preserve">Power generation</t>
  </si>
  <si>
    <t xml:space="preserve">8.64 (battery) + 16 (engine)</t>
  </si>
  <si>
    <t xml:space="preserve">Time between recharge</t>
  </si>
  <si>
    <t xml:space="preserve">N/A</t>
  </si>
  <si>
    <t xml:space="preserve">hours</t>
  </si>
  <si>
    <t xml:space="preserve">Max daily operating time</t>
  </si>
  <si>
    <t xml:space="preserve">Battery Capacity</t>
  </si>
  <si>
    <t xml:space="preserve">kWh</t>
  </si>
  <si>
    <t xml:space="preserve">Robot arms</t>
  </si>
  <si>
    <t xml:space="preserve">Mass (attachment)</t>
  </si>
  <si>
    <t xml:space="preserve">Mass (platform</t>
  </si>
  <si>
    <t xml:space="preserve">Fuel capacity</t>
  </si>
  <si>
    <t xml:space="preserve">Wheel Tread</t>
  </si>
  <si>
    <t xml:space="preserve">Tractor</t>
  </si>
  <si>
    <t xml:space="preserve">Number wheels</t>
  </si>
  <si>
    <t xml:space="preserve">Electricity generation type</t>
  </si>
  <si>
    <t xml:space="preserve">Petrol + Battery (Hybrid)</t>
  </si>
  <si>
    <t xml:space="preserve">Actuation method</t>
  </si>
  <si>
    <t xml:space="preserve">Pneumatic</t>
  </si>
  <si>
    <t xml:space="preserve">Operating life</t>
  </si>
  <si>
    <t xml:space="preserve">Impact results</t>
  </si>
  <si>
    <t xml:space="preserve">Process</t>
  </si>
  <si>
    <r>
      <rPr>
        <b val="true"/>
        <sz val="11"/>
        <color rgb="FF000000"/>
        <rFont val="Calibri"/>
        <family val="2"/>
        <charset val="1"/>
      </rPr>
      <t xml:space="preserve">CO</t>
    </r>
    <r>
      <rPr>
        <b val="true"/>
        <vertAlign val="subscript"/>
        <sz val="11"/>
        <color rgb="FF000000"/>
        <rFont val="Calibri"/>
        <family val="2"/>
        <charset val="1"/>
      </rPr>
      <t xml:space="preserve">2</t>
    </r>
    <r>
      <rPr>
        <b val="true"/>
        <sz val="11"/>
        <color rgb="FF000000"/>
        <rFont val="Calibri"/>
        <family val="2"/>
        <charset val="1"/>
      </rPr>
      <t xml:space="preserve"> emissions (kg)</t>
    </r>
  </si>
  <si>
    <r>
      <rPr>
        <b val="true"/>
        <sz val="11"/>
        <color rgb="FF000000"/>
        <rFont val="Calibri"/>
        <family val="2"/>
        <charset val="1"/>
      </rPr>
      <t xml:space="preserve">CO</t>
    </r>
    <r>
      <rPr>
        <b val="true"/>
        <vertAlign val="subscript"/>
        <sz val="11"/>
        <color rgb="FF000000"/>
        <rFont val="Calibri"/>
        <family val="2"/>
        <charset val="1"/>
      </rPr>
      <t xml:space="preserve">2</t>
    </r>
    <r>
      <rPr>
        <b val="true"/>
        <sz val="11"/>
        <color rgb="FF000000"/>
        <rFont val="Calibri"/>
        <family val="2"/>
        <charset val="1"/>
      </rPr>
      <t xml:space="preserve"> emissions (kg/kiwifruit picked over lifetime)</t>
    </r>
  </si>
  <si>
    <t xml:space="preserve">% of total</t>
  </si>
  <si>
    <t xml:space="preserve">CO2 Emissions</t>
  </si>
  <si>
    <t xml:space="preserve">% of grand total</t>
  </si>
  <si>
    <t xml:space="preserve">Raw Materials</t>
  </si>
  <si>
    <t xml:space="preserve">Scope 1</t>
  </si>
  <si>
    <t xml:space="preserve">Welding/Grinding offcuts</t>
  </si>
  <si>
    <t xml:space="preserve">Copper Offcuts</t>
  </si>
  <si>
    <t xml:space="preserve">Scope 2</t>
  </si>
  <si>
    <t xml:space="preserve">3D printing</t>
  </si>
  <si>
    <t xml:space="preserve">Scope 3, Category 3</t>
  </si>
  <si>
    <t xml:space="preserve">Aluminium Transport</t>
  </si>
  <si>
    <t xml:space="preserve">Plastic Transport</t>
  </si>
  <si>
    <t xml:space="preserve">Tyre Transport</t>
  </si>
  <si>
    <t xml:space="preserve">Silicone transport</t>
  </si>
  <si>
    <t xml:space="preserve">Cast Iron Transport</t>
  </si>
  <si>
    <t xml:space="preserve">Copper Transport</t>
  </si>
  <si>
    <t xml:space="preserve">Mild Steel Transport</t>
  </si>
  <si>
    <t xml:space="preserve">Battery Transport</t>
  </si>
  <si>
    <t xml:space="preserve">Scope 3, Category 4</t>
  </si>
  <si>
    <t xml:space="preserve">Silicon</t>
  </si>
  <si>
    <t xml:space="preserve">Grand Total</t>
  </si>
  <si>
    <t xml:space="preserve">Score</t>
  </si>
  <si>
    <t xml:space="preserve">Sample size</t>
  </si>
</sst>
</file>

<file path=xl/styles.xml><?xml version="1.0" encoding="utf-8"?>
<styleSheet xmlns="http://schemas.openxmlformats.org/spreadsheetml/2006/main">
  <numFmts count="12">
    <numFmt numFmtId="164" formatCode="General"/>
    <numFmt numFmtId="165" formatCode="0.00%"/>
    <numFmt numFmtId="166" formatCode="0.00000000"/>
    <numFmt numFmtId="167" formatCode="0.0"/>
    <numFmt numFmtId="168" formatCode="General"/>
    <numFmt numFmtId="169" formatCode="0.00"/>
    <numFmt numFmtId="170" formatCode="0.000"/>
    <numFmt numFmtId="171" formatCode="0.0000"/>
    <numFmt numFmtId="172" formatCode="0.00000"/>
    <numFmt numFmtId="173" formatCode="0"/>
    <numFmt numFmtId="174" formatCode="0.0000000"/>
    <numFmt numFmtId="175" formatCode="0.00E+00"/>
  </numFmts>
  <fonts count="15">
    <font>
      <sz val="10"/>
      <name val="Arial"/>
      <family val="2"/>
      <charset val="1"/>
    </font>
    <font>
      <sz val="10"/>
      <name val="Arial"/>
      <family val="0"/>
    </font>
    <font>
      <sz val="10"/>
      <name val="Arial"/>
      <family val="0"/>
    </font>
    <font>
      <sz val="10"/>
      <name val="Arial"/>
      <family val="0"/>
    </font>
    <font>
      <b val="true"/>
      <sz val="16"/>
      <name val="Arial"/>
      <family val="2"/>
      <charset val="1"/>
    </font>
    <font>
      <b val="true"/>
      <sz val="10"/>
      <name val="Arial"/>
      <family val="2"/>
      <charset val="1"/>
    </font>
    <font>
      <b val="true"/>
      <sz val="11"/>
      <color rgb="FF000000"/>
      <name val="Calibri"/>
      <family val="2"/>
      <charset val="1"/>
    </font>
    <font>
      <sz val="8"/>
      <name val="Arial"/>
      <family val="2"/>
      <charset val="1"/>
    </font>
    <font>
      <sz val="10"/>
      <color rgb="FF000000"/>
      <name val="Arial"/>
      <family val="2"/>
      <charset val="1"/>
    </font>
    <font>
      <sz val="11"/>
      <color rgb="FF000000"/>
      <name val="Arial"/>
      <family val="2"/>
      <charset val="1"/>
    </font>
    <font>
      <sz val="2"/>
      <name val="Arial"/>
      <family val="2"/>
      <charset val="1"/>
    </font>
    <font>
      <sz val="11"/>
      <name val="Arial"/>
      <family val="2"/>
      <charset val="1"/>
    </font>
    <font>
      <b val="true"/>
      <sz val="10"/>
      <name val="Times New Roman"/>
      <family val="1"/>
      <charset val="1"/>
    </font>
    <font>
      <sz val="10"/>
      <name val="Times New Roman"/>
      <family val="1"/>
      <charset val="1"/>
    </font>
    <font>
      <b val="true"/>
      <vertAlign val="subscript"/>
      <sz val="11"/>
      <color rgb="FF000000"/>
      <name val="Calibri"/>
      <family val="2"/>
      <charset val="1"/>
    </font>
  </fonts>
  <fills count="13">
    <fill>
      <patternFill patternType="none"/>
    </fill>
    <fill>
      <patternFill patternType="gray125"/>
    </fill>
    <fill>
      <patternFill patternType="solid">
        <fgColor rgb="FFFFFF00"/>
        <bgColor rgb="FFFFFF00"/>
      </patternFill>
    </fill>
    <fill>
      <patternFill patternType="solid">
        <fgColor rgb="FF808080"/>
        <bgColor rgb="FF999999"/>
      </patternFill>
    </fill>
    <fill>
      <patternFill patternType="solid">
        <fgColor rgb="FF729FCF"/>
        <bgColor rgb="FF999999"/>
      </patternFill>
    </fill>
    <fill>
      <patternFill patternType="solid">
        <fgColor rgb="FF6B5E9B"/>
        <bgColor rgb="FF808080"/>
      </patternFill>
    </fill>
    <fill>
      <patternFill patternType="solid">
        <fgColor rgb="FFFFBF00"/>
        <bgColor rgb="FFFF9900"/>
      </patternFill>
    </fill>
    <fill>
      <patternFill patternType="solid">
        <fgColor rgb="FF81D41A"/>
        <bgColor rgb="FFB2B2B2"/>
      </patternFill>
    </fill>
    <fill>
      <patternFill patternType="solid">
        <fgColor rgb="FF999999"/>
        <bgColor rgb="FFB2B2B2"/>
      </patternFill>
    </fill>
    <fill>
      <patternFill patternType="solid">
        <fgColor rgb="FFFF4000"/>
        <bgColor rgb="FFFF0000"/>
      </patternFill>
    </fill>
    <fill>
      <patternFill patternType="solid">
        <fgColor rgb="FFB2B2B2"/>
        <bgColor rgb="FF999999"/>
      </patternFill>
    </fill>
    <fill>
      <patternFill patternType="solid">
        <fgColor rgb="FF2A6099"/>
        <bgColor rgb="FF3366FF"/>
      </patternFill>
    </fill>
    <fill>
      <patternFill patternType="solid">
        <fgColor rgb="FF00A933"/>
        <bgColor rgb="FF008000"/>
      </patternFill>
    </fill>
  </fills>
  <borders count="9">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right/>
      <top style="thin"/>
      <bottom style="thin"/>
      <diagonal/>
    </border>
    <border diagonalUp="false" diagonalDown="false">
      <left style="thin"/>
      <right style="thin"/>
      <top/>
      <bottom/>
      <diagonal/>
    </border>
    <border diagonalUp="false" diagonalDown="false">
      <left style="thin"/>
      <right/>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center" vertical="bottom" textRotation="9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0" fillId="4"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9" fontId="8" fillId="6"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left"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2" borderId="0" xfId="0" applyFont="true" applyBorder="false" applyAlignment="false" applyProtection="false">
      <alignment horizontal="general" vertical="bottom" textRotation="0" wrapText="false" indent="0" shrinkToFit="false"/>
      <protection locked="true" hidden="false"/>
    </xf>
    <xf numFmtId="169" fontId="0" fillId="7"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true" applyAlignment="true" applyProtection="false">
      <alignment horizontal="center"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0" fillId="0" borderId="2" xfId="0" applyFont="fals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9" fontId="0" fillId="6" borderId="0" xfId="0" applyFont="false" applyBorder="false" applyAlignment="false" applyProtection="false">
      <alignment horizontal="general" vertical="bottom" textRotation="0" wrapText="false" indent="0" shrinkToFit="false"/>
      <protection locked="true" hidden="false"/>
    </xf>
    <xf numFmtId="169" fontId="0" fillId="9" borderId="0" xfId="0" applyFont="false" applyBorder="false" applyAlignment="true" applyProtection="false">
      <alignment horizontal="center" vertical="bottom" textRotation="0" wrapText="false" indent="0" shrinkToFit="false"/>
      <protection locked="true" hidden="false"/>
    </xf>
    <xf numFmtId="169" fontId="0" fillId="7" borderId="0" xfId="0" applyFont="false" applyBorder="false" applyAlignment="true" applyProtection="false">
      <alignment horizontal="center" vertical="bottom" textRotation="0" wrapText="false" indent="0" shrinkToFit="false"/>
      <protection locked="true" hidden="false"/>
    </xf>
    <xf numFmtId="169" fontId="0" fillId="6" borderId="0" xfId="0" applyFont="fals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6" fontId="0" fillId="11"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8" fontId="0" fillId="7"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0" fillId="7" borderId="0" xfId="0" applyFont="false" applyBorder="false" applyAlignment="false" applyProtection="false">
      <alignment horizontal="general" vertical="bottom" textRotation="0" wrapText="false" indent="0" shrinkToFit="false"/>
      <protection locked="true" hidden="false"/>
    </xf>
    <xf numFmtId="172"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true" indent="0" shrinkToFit="false"/>
      <protection locked="true" hidden="false"/>
    </xf>
    <xf numFmtId="170" fontId="0" fillId="9" borderId="0" xfId="0" applyFont="fals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70" fontId="0" fillId="0" borderId="3" xfId="0" applyFont="true" applyBorder="true" applyAlignment="false" applyProtection="false">
      <alignment horizontal="general" vertical="bottom" textRotation="0" wrapText="false" indent="0" shrinkToFit="false"/>
      <protection locked="true" hidden="false"/>
    </xf>
    <xf numFmtId="170" fontId="0" fillId="7" borderId="0" xfId="0" applyFont="false" applyBorder="false" applyAlignment="false" applyProtection="false">
      <alignment horizontal="general" vertical="bottom" textRotation="0" wrapText="false" indent="0" shrinkToFit="false"/>
      <protection locked="true" hidden="false"/>
    </xf>
    <xf numFmtId="169" fontId="0" fillId="12" borderId="0" xfId="0" applyFont="fals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0" fontId="8" fillId="6"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73" fontId="6" fillId="0" borderId="2"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center" vertical="bottom" textRotation="0" wrapText="true" indent="0" shrinkToFit="false"/>
      <protection locked="true" hidden="false"/>
    </xf>
    <xf numFmtId="171" fontId="9" fillId="0" borderId="0" xfId="0" applyFont="true" applyBorder="false" applyAlignment="true" applyProtection="false">
      <alignment horizontal="center" vertical="bottom" textRotation="0" wrapText="true" indent="0" shrinkToFit="false"/>
      <protection locked="true" hidden="false"/>
    </xf>
    <xf numFmtId="170" fontId="9" fillId="0" borderId="0" xfId="0" applyFont="true" applyBorder="false" applyAlignment="true" applyProtection="false">
      <alignment horizontal="center" vertical="bottom" textRotation="0" wrapText="tru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70" fontId="0"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73" fontId="6" fillId="0" borderId="3"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4" xfId="0" applyFont="true" applyBorder="true" applyAlignment="true" applyProtection="false">
      <alignment horizontal="general" vertical="bottom" textRotation="0" wrapText="true" indent="0" shrinkToFit="false"/>
      <protection locked="true" hidden="false"/>
    </xf>
    <xf numFmtId="170" fontId="13" fillId="0" borderId="5" xfId="0" applyFont="true" applyBorder="true" applyAlignment="true" applyProtection="false">
      <alignment horizontal="general" vertical="bottom" textRotation="0" wrapText="true" indent="0" shrinkToFit="false"/>
      <protection locked="true" hidden="false"/>
    </xf>
    <xf numFmtId="164" fontId="13" fillId="0" borderId="5" xfId="0" applyFont="true" applyBorder="true" applyAlignment="true" applyProtection="false">
      <alignment horizontal="general" vertical="bottom" textRotation="0" wrapText="true" indent="0" shrinkToFit="false"/>
      <protection locked="true" hidden="false"/>
    </xf>
    <xf numFmtId="164" fontId="13" fillId="0" borderId="6" xfId="0" applyFont="true" applyBorder="true" applyAlignment="true" applyProtection="false">
      <alignment horizontal="general" vertical="bottom" textRotation="0" wrapText="true" indent="0" shrinkToFit="false"/>
      <protection locked="true" hidden="false"/>
    </xf>
    <xf numFmtId="164" fontId="13" fillId="0" borderId="7" xfId="0" applyFont="true" applyBorder="true" applyAlignment="true" applyProtection="false">
      <alignment horizontal="general" vertical="bottom" textRotation="0" wrapText="true" indent="0" shrinkToFit="false"/>
      <protection locked="true" hidden="false"/>
    </xf>
    <xf numFmtId="164" fontId="13" fillId="0" borderId="8" xfId="0" applyFont="true" applyBorder="true" applyAlignment="true" applyProtection="false">
      <alignment horizontal="general" vertical="bottom"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729FC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4000"/>
      <rgbColor rgb="FF6B5E9B"/>
      <rgbColor rgb="FF999999"/>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M1048576"/>
  <sheetViews>
    <sheetView showFormulas="false" showGridLines="true" showRowColHeaders="true" showZeros="true" rightToLeft="false" tabSelected="true" showOutlineSymbols="true" defaultGridColor="true" view="normal" topLeftCell="T2" colorId="64" zoomScale="80" zoomScaleNormal="80" zoomScalePageLayoutView="100" workbookViewId="0">
      <selection pane="topLeft" activeCell="AL18" activeCellId="0" sqref="AL18"/>
    </sheetView>
  </sheetViews>
  <sheetFormatPr defaultColWidth="11.625" defaultRowHeight="12.75" zeroHeight="false" outlineLevelRow="0" outlineLevelCol="0"/>
  <cols>
    <col collapsed="false" customWidth="true" hidden="false" outlineLevel="0" max="1" min="1" style="0" width="26.59"/>
    <col collapsed="false" customWidth="true" hidden="false" outlineLevel="0" max="2" min="2" style="0" width="23.88"/>
    <col collapsed="false" customWidth="true" hidden="false" outlineLevel="0" max="3" min="3" style="0" width="23.28"/>
    <col collapsed="false" customWidth="true" hidden="false" outlineLevel="0" max="4" min="4" style="0" width="14.57"/>
    <col collapsed="false" customWidth="true" hidden="false" outlineLevel="0" max="5" min="5" style="0" width="13.02"/>
    <col collapsed="false" customWidth="true" hidden="false" outlineLevel="0" max="6" min="6" style="0" width="21.14"/>
    <col collapsed="false" customWidth="true" hidden="false" outlineLevel="0" max="7" min="7" style="0" width="14.69"/>
    <col collapsed="false" customWidth="true" hidden="false" outlineLevel="0" max="17" min="17" style="0" width="51.93"/>
    <col collapsed="false" customWidth="true" hidden="false" outlineLevel="0" max="19" min="19" style="0" width="17.36"/>
    <col collapsed="false" customWidth="true" hidden="false" outlineLevel="0" max="20" min="20" style="0" width="18.23"/>
    <col collapsed="false" customWidth="true" hidden="false" outlineLevel="0" max="22" min="22" style="0" width="23.8"/>
    <col collapsed="false" customWidth="true" hidden="false" outlineLevel="0" max="30" min="30" style="0" width="12.85"/>
    <col collapsed="false" customWidth="true" hidden="false" outlineLevel="0" max="31" min="31" style="0" width="18.58"/>
    <col collapsed="false" customWidth="true" hidden="false" outlineLevel="0" max="32" min="32" style="0" width="34.56"/>
    <col collapsed="false" customWidth="true" hidden="false" outlineLevel="0" max="33" min="33" style="0" width="19.97"/>
    <col collapsed="false" customWidth="true" hidden="false" outlineLevel="0" max="36" min="34" style="0" width="22.57"/>
    <col collapsed="false" customWidth="true" hidden="false" outlineLevel="0" max="37" min="37" style="0" width="73.63"/>
    <col collapsed="false" customWidth="true" hidden="false" outlineLevel="0" max="38" min="38" style="0" width="58.18"/>
  </cols>
  <sheetData>
    <row r="2" customFormat="false" ht="12.75" hidden="false" customHeight="false" outlineLevel="0" collapsed="false">
      <c r="Q2" s="1" t="s">
        <v>0</v>
      </c>
      <c r="R2" s="2" t="n">
        <v>0.1</v>
      </c>
      <c r="U2" s="3" t="n">
        <v>0.00304389</v>
      </c>
    </row>
    <row r="4" customFormat="false" ht="19.7" hidden="false" customHeight="true" outlineLevel="0" collapsed="false">
      <c r="A4" s="4" t="s">
        <v>1</v>
      </c>
      <c r="F4" s="5" t="s">
        <v>2</v>
      </c>
      <c r="G4" s="0" t="n">
        <v>0.6</v>
      </c>
      <c r="Y4" s="6" t="s">
        <v>3</v>
      </c>
      <c r="Z4" s="6"/>
      <c r="AA4" s="6"/>
      <c r="AB4" s="6"/>
      <c r="AC4" s="6"/>
      <c r="AD4" s="7"/>
      <c r="AE4" s="7"/>
      <c r="AF4" s="7"/>
      <c r="AG4" s="7"/>
      <c r="AH4" s="7"/>
      <c r="AI4" s="7"/>
      <c r="AJ4" s="7"/>
    </row>
    <row r="5" customFormat="false" ht="67.15" hidden="false" customHeight="false" outlineLevel="0" collapsed="false">
      <c r="A5" s="5" t="s">
        <v>4</v>
      </c>
      <c r="B5" s="5" t="n">
        <v>800</v>
      </c>
      <c r="C5" s="5" t="s">
        <v>5</v>
      </c>
      <c r="F5" s="0" t="s">
        <v>6</v>
      </c>
      <c r="G5" s="0" t="n">
        <f aca="false">G4*0.3</f>
        <v>0.18</v>
      </c>
      <c r="H5" s="0" t="n">
        <f aca="false">G5*F26/1000</f>
        <v>0.57354543</v>
      </c>
      <c r="Q5" s="5" t="s">
        <v>7</v>
      </c>
      <c r="R5" s="5" t="s">
        <v>8</v>
      </c>
      <c r="S5" s="5"/>
      <c r="T5" s="5"/>
      <c r="U5" s="5" t="s">
        <v>9</v>
      </c>
      <c r="V5" s="5"/>
      <c r="W5" s="5" t="s">
        <v>10</v>
      </c>
      <c r="Y5" s="8" t="s">
        <v>11</v>
      </c>
      <c r="Z5" s="8" t="s">
        <v>12</v>
      </c>
      <c r="AA5" s="8" t="s">
        <v>13</v>
      </c>
      <c r="AB5" s="8" t="s">
        <v>14</v>
      </c>
      <c r="AC5" s="8" t="s">
        <v>15</v>
      </c>
      <c r="AD5" s="8"/>
      <c r="AE5" s="8"/>
      <c r="AF5" s="8"/>
      <c r="AG5" s="7" t="s">
        <v>16</v>
      </c>
      <c r="AH5" s="7" t="s">
        <v>17</v>
      </c>
      <c r="AI5" s="7" t="s">
        <v>18</v>
      </c>
      <c r="AJ5" s="7" t="s">
        <v>19</v>
      </c>
    </row>
    <row r="6" customFormat="false" ht="12.8" hidden="false" customHeight="false" outlineLevel="0" collapsed="false">
      <c r="A6" s="9" t="s">
        <v>20</v>
      </c>
      <c r="B6" s="9" t="s">
        <v>21</v>
      </c>
      <c r="C6" s="9" t="s">
        <v>22</v>
      </c>
      <c r="F6" s="0" t="s">
        <v>23</v>
      </c>
      <c r="G6" s="0" t="n">
        <f aca="false">0.4*G4</f>
        <v>0.24</v>
      </c>
      <c r="H6" s="0" t="n">
        <f aca="false">G6 *F25/1000</f>
        <v>0.4776</v>
      </c>
      <c r="I6" s="9" t="s">
        <v>24</v>
      </c>
      <c r="Q6" s="9" t="s">
        <v>20</v>
      </c>
      <c r="R6" s="9" t="s">
        <v>25</v>
      </c>
      <c r="S6" s="9" t="s">
        <v>26</v>
      </c>
      <c r="T6" s="9" t="s">
        <v>27</v>
      </c>
      <c r="U6" s="9" t="s">
        <v>26</v>
      </c>
      <c r="V6" s="9" t="s">
        <v>27</v>
      </c>
      <c r="W6" s="0" t="s">
        <v>26</v>
      </c>
      <c r="X6" s="0" t="s">
        <v>27</v>
      </c>
      <c r="AF6" s="5" t="s">
        <v>28</v>
      </c>
      <c r="AJ6" s="0" t="s">
        <v>19</v>
      </c>
    </row>
    <row r="7" customFormat="false" ht="12.8" hidden="false" customHeight="false" outlineLevel="0" collapsed="false">
      <c r="A7" s="0" t="s">
        <v>23</v>
      </c>
      <c r="B7" s="10" t="n">
        <f aca="false">(C7/$C$13)*100</f>
        <v>42.7388147201353</v>
      </c>
      <c r="C7" s="10" t="n">
        <f aca="false">($B$5 - SUM(C8:C12))*1.1</f>
        <v>355.731937172775</v>
      </c>
      <c r="E7" s="0" t="n">
        <f aca="false">1990*C7 /1000</f>
        <v>707.906554973822</v>
      </c>
      <c r="F7" s="0" t="s">
        <v>29</v>
      </c>
      <c r="G7" s="0" t="n">
        <f aca="false">G4*0.3</f>
        <v>0.18</v>
      </c>
      <c r="H7" s="0" t="n">
        <f aca="false">F27 * G7/1000</f>
        <v>0.774955206</v>
      </c>
      <c r="I7" s="11" t="s">
        <v>30</v>
      </c>
      <c r="Q7" s="0" t="str">
        <f aca="false">A7</f>
        <v>Aluminium</v>
      </c>
      <c r="R7" s="12" t="n">
        <v>355.7</v>
      </c>
      <c r="S7" s="13" t="n">
        <f aca="false">R7*(1-$R$2)</f>
        <v>320.13</v>
      </c>
      <c r="T7" s="13" t="n">
        <f aca="false">R7*(1+$R$2)</f>
        <v>391.27</v>
      </c>
      <c r="U7" s="14" t="n">
        <v>0.00291695</v>
      </c>
      <c r="V7" s="15" t="n">
        <v>0.00317739</v>
      </c>
      <c r="W7" s="16" t="n">
        <f aca="false">(U7-$U$2)/$U$2 *100</f>
        <v>-4.17032152935881</v>
      </c>
      <c r="X7" s="16" t="n">
        <f aca="false">(V7-$U$2)/$U$2 *100</f>
        <v>4.38583523057666</v>
      </c>
      <c r="Y7" s="0" t="n">
        <v>2</v>
      </c>
      <c r="Z7" s="0" t="n">
        <v>2</v>
      </c>
      <c r="AA7" s="0" t="n">
        <v>1</v>
      </c>
      <c r="AB7" s="0" t="n">
        <v>2</v>
      </c>
      <c r="AC7" s="0" t="n">
        <v>1</v>
      </c>
      <c r="AD7" s="17" t="n">
        <v>1.49</v>
      </c>
      <c r="AE7" s="17"/>
      <c r="AF7" s="18" t="str">
        <f aca="false">Q7</f>
        <v>Aluminium</v>
      </c>
      <c r="AG7" s="17" t="str">
        <f aca="false">_xlfn.CONCAT(Y7,",",Z7,",",AA7,",",AB7,",",AC7)</f>
        <v>2,2,1,2,1</v>
      </c>
      <c r="AH7" s="17" t="n">
        <f aca="false">AD7</f>
        <v>1.49</v>
      </c>
      <c r="AI7" s="19" t="n">
        <f aca="false">MAX(ABS(W7), X7)</f>
        <v>4.38583523057666</v>
      </c>
      <c r="AJ7" s="17" t="n">
        <f aca="false">AH7*AI7</f>
        <v>6.53489449355923</v>
      </c>
      <c r="AK7" s="20" t="s">
        <v>31</v>
      </c>
    </row>
    <row r="8" customFormat="false" ht="12.8" hidden="false" customHeight="false" outlineLevel="0" collapsed="false">
      <c r="A8" s="0" t="s">
        <v>32</v>
      </c>
      <c r="B8" s="10" t="n">
        <f aca="false">(C8/$C$13)*100</f>
        <v>25.1099531503968</v>
      </c>
      <c r="C8" s="10" t="n">
        <f aca="false">(190*1.1)</f>
        <v>209</v>
      </c>
      <c r="H8" s="0" t="n">
        <f aca="false">SUM(H5:H7)</f>
        <v>1.826100636</v>
      </c>
      <c r="I8" s="11" t="s">
        <v>33</v>
      </c>
      <c r="Q8" s="0" t="str">
        <f aca="false">A8</f>
        <v>Mild steel</v>
      </c>
      <c r="R8" s="12" t="n">
        <v>209</v>
      </c>
      <c r="S8" s="13" t="n">
        <f aca="false">R8*(1-$R$2)</f>
        <v>188.1</v>
      </c>
      <c r="T8" s="13" t="n">
        <f aca="false">R8*(1+$R$2)</f>
        <v>229.9</v>
      </c>
      <c r="U8" s="14" t="n">
        <v>0.00301178</v>
      </c>
      <c r="V8" s="14" t="n">
        <v>0.00309104</v>
      </c>
      <c r="W8" s="21" t="n">
        <f aca="false">(U8-$U$2)/$U$2 *100</f>
        <v>-1.05490014422335</v>
      </c>
      <c r="X8" s="21" t="n">
        <f aca="false">(V8-$U$2)/$U$2 *100</f>
        <v>1.5490047275033</v>
      </c>
      <c r="Y8" s="0" t="n">
        <v>1</v>
      </c>
      <c r="Z8" s="0" t="n">
        <v>2</v>
      </c>
      <c r="AA8" s="0" t="n">
        <v>1</v>
      </c>
      <c r="AB8" s="0" t="n">
        <v>5</v>
      </c>
      <c r="AC8" s="0" t="n">
        <v>1</v>
      </c>
      <c r="AD8" s="17" t="n">
        <v>1.62</v>
      </c>
      <c r="AE8" s="17"/>
      <c r="AF8" s="18" t="str">
        <f aca="false">Q8</f>
        <v>Mild steel</v>
      </c>
      <c r="AG8" s="17" t="str">
        <f aca="false">_xlfn.CONCAT(Y8,",",Z8,",",AA8,",",AB8,",",AC8)</f>
        <v>1,2,1,5,1</v>
      </c>
      <c r="AH8" s="17" t="n">
        <f aca="false">AD8</f>
        <v>1.62</v>
      </c>
      <c r="AI8" s="19" t="n">
        <f aca="false">MAX(ABS(W8), X8)</f>
        <v>1.5490047275033</v>
      </c>
      <c r="AJ8" s="17" t="n">
        <f aca="false">AH8*AI8</f>
        <v>2.50938765855534</v>
      </c>
      <c r="AK8" s="20" t="s">
        <v>34</v>
      </c>
    </row>
    <row r="9" customFormat="false" ht="12.8" hidden="false" customHeight="false" outlineLevel="0" collapsed="false">
      <c r="A9" s="0" t="s">
        <v>29</v>
      </c>
      <c r="B9" s="10" t="n">
        <f aca="false">(C9/$C$13)*100</f>
        <v>9.01162936982</v>
      </c>
      <c r="C9" s="10" t="n">
        <f aca="false">(G11*$B$5 + G12)*1.1</f>
        <v>75.0073298429319</v>
      </c>
      <c r="I9" s="11" t="s">
        <v>35</v>
      </c>
      <c r="Q9" s="0" t="str">
        <f aca="false">A9</f>
        <v>Copper</v>
      </c>
      <c r="R9" s="12" t="n">
        <v>75</v>
      </c>
      <c r="S9" s="13" t="n">
        <f aca="false">R9*(1-$R$2)</f>
        <v>67.5</v>
      </c>
      <c r="T9" s="13" t="n">
        <f aca="false">R9*(1+$R$2)</f>
        <v>82.5</v>
      </c>
      <c r="U9" s="15" t="n">
        <v>0.00300722</v>
      </c>
      <c r="V9" s="15" t="n">
        <v>0.0030879</v>
      </c>
      <c r="W9" s="21" t="n">
        <f aca="false">(U9-$U$2)/$U$2 *100</f>
        <v>-1.20470844872843</v>
      </c>
      <c r="X9" s="21" t="n">
        <f aca="false">(V9-$U$2)/$U$2 *100</f>
        <v>1.44584725466427</v>
      </c>
      <c r="Y9" s="0" t="n">
        <v>4</v>
      </c>
      <c r="Z9" s="0" t="n">
        <v>2</v>
      </c>
      <c r="AA9" s="0" t="n">
        <v>1</v>
      </c>
      <c r="AB9" s="0" t="n">
        <v>5</v>
      </c>
      <c r="AC9" s="0" t="n">
        <v>1</v>
      </c>
      <c r="AD9" s="17" t="n">
        <v>2.16</v>
      </c>
      <c r="AE9" s="17"/>
      <c r="AF9" s="18" t="str">
        <f aca="false">Q9</f>
        <v>Copper</v>
      </c>
      <c r="AG9" s="17" t="str">
        <f aca="false">_xlfn.CONCAT(Y9,",",Z9,",",AA9,",",AB9,",",AC9)</f>
        <v>4,2,1,5,1</v>
      </c>
      <c r="AH9" s="17" t="n">
        <f aca="false">AD9</f>
        <v>2.16</v>
      </c>
      <c r="AI9" s="19" t="n">
        <f aca="false">MAX(ABS(W9), X9)</f>
        <v>1.44584725466427</v>
      </c>
      <c r="AJ9" s="17" t="n">
        <f aca="false">AH9*AI9</f>
        <v>3.12303007007482</v>
      </c>
      <c r="AK9" s="20" t="s">
        <v>36</v>
      </c>
    </row>
    <row r="10" customFormat="false" ht="12.8" hidden="false" customHeight="false" outlineLevel="0" collapsed="false">
      <c r="A10" s="0" t="s">
        <v>37</v>
      </c>
      <c r="B10" s="10" t="n">
        <f aca="false">(C10/$C$13)*100</f>
        <v>11.5337583848713</v>
      </c>
      <c r="C10" s="10" t="n">
        <f aca="false">96</f>
        <v>96</v>
      </c>
      <c r="I10" s="11" t="s">
        <v>38</v>
      </c>
      <c r="Q10" s="0" t="str">
        <f aca="false">A10</f>
        <v>Battery</v>
      </c>
      <c r="R10" s="12" t="n">
        <v>96</v>
      </c>
      <c r="S10" s="13" t="n">
        <f aca="false">R10*(1-$R$2)</f>
        <v>86.4</v>
      </c>
      <c r="T10" s="13" t="n">
        <f aca="false">R10*(1+$R$2)</f>
        <v>105.6</v>
      </c>
      <c r="U10" s="15" t="n">
        <v>0.00294348</v>
      </c>
      <c r="V10" s="15" t="n">
        <v>0.00315944</v>
      </c>
      <c r="W10" s="16" t="n">
        <f aca="false">(U10-$U$2)/$U$2 *100</f>
        <v>-3.29873944196407</v>
      </c>
      <c r="X10" s="16" t="n">
        <f aca="false">(V10-$U$2)/$U$2 *100</f>
        <v>3.79612929507965</v>
      </c>
      <c r="Y10" s="0" t="n">
        <v>1</v>
      </c>
      <c r="Z10" s="0" t="n">
        <v>2</v>
      </c>
      <c r="AA10" s="0" t="n">
        <v>1</v>
      </c>
      <c r="AB10" s="0" t="n">
        <v>5</v>
      </c>
      <c r="AC10" s="0" t="n">
        <v>1</v>
      </c>
      <c r="AD10" s="17" t="n">
        <v>1.62</v>
      </c>
      <c r="AE10" s="17"/>
      <c r="AF10" s="18" t="str">
        <f aca="false">Q10</f>
        <v>Battery</v>
      </c>
      <c r="AG10" s="17" t="str">
        <f aca="false">_xlfn.CONCAT(Y10,",",Z10,",",AA10,",",AB10,",",AC10)</f>
        <v>1,2,1,5,1</v>
      </c>
      <c r="AH10" s="17" t="n">
        <f aca="false">AD10</f>
        <v>1.62</v>
      </c>
      <c r="AI10" s="19" t="n">
        <f aca="false">MAX(ABS(W10), X10)</f>
        <v>3.79612929507965</v>
      </c>
      <c r="AJ10" s="17" t="n">
        <f aca="false">AH10*AI10</f>
        <v>6.14972945802903</v>
      </c>
      <c r="AK10" s="20" t="s">
        <v>39</v>
      </c>
    </row>
    <row r="11" customFormat="false" ht="12.8" hidden="false" customHeight="false" outlineLevel="0" collapsed="false">
      <c r="A11" s="0" t="s">
        <v>40</v>
      </c>
      <c r="B11" s="10" t="n">
        <f aca="false">(C11/$C$13)*100</f>
        <v>5.35839191630477</v>
      </c>
      <c r="C11" s="10" t="n">
        <f aca="false">44.6</f>
        <v>44.6</v>
      </c>
      <c r="F11" s="5" t="s">
        <v>41</v>
      </c>
      <c r="G11" s="2" t="n">
        <v>0.08</v>
      </c>
      <c r="H11" s="0" t="n">
        <f aca="false">G11*2*B5*F27/1000</f>
        <v>551.0792576</v>
      </c>
      <c r="I11" s="11" t="s">
        <v>42</v>
      </c>
      <c r="Q11" s="0" t="str">
        <f aca="false">A11</f>
        <v>Cast iron</v>
      </c>
      <c r="R11" s="12" t="n">
        <v>44.6</v>
      </c>
      <c r="S11" s="13" t="n">
        <f aca="false">R11*(1-$R$2)</f>
        <v>40.14</v>
      </c>
      <c r="T11" s="13" t="n">
        <f aca="false">R11*(1+$R$2)</f>
        <v>49.06</v>
      </c>
      <c r="U11" s="15" t="n">
        <v>0.00305592</v>
      </c>
      <c r="V11" s="15" t="n">
        <v>0.0030326</v>
      </c>
      <c r="W11" s="22" t="n">
        <f aca="false">(U11-$U$2)/$U$2 *100</f>
        <v>0.395217961227249</v>
      </c>
      <c r="X11" s="22" t="n">
        <f aca="false">(V11-$U$2)/$U$2 *100</f>
        <v>-0.37090696444353</v>
      </c>
      <c r="Y11" s="0" t="n">
        <v>4</v>
      </c>
      <c r="Z11" s="0" t="n">
        <v>2</v>
      </c>
      <c r="AA11" s="0" t="n">
        <v>1</v>
      </c>
      <c r="AB11" s="0" t="n">
        <v>5</v>
      </c>
      <c r="AC11" s="0" t="n">
        <v>1</v>
      </c>
      <c r="AD11" s="23" t="n">
        <v>1.62</v>
      </c>
      <c r="AE11" s="23"/>
      <c r="AF11" s="18" t="str">
        <f aca="false">Q11</f>
        <v>Cast iron</v>
      </c>
      <c r="AG11" s="17" t="str">
        <f aca="false">_xlfn.CONCAT(Y11,",",Z11,",",AA11,",",AB11,",",AC11)</f>
        <v>4,2,1,5,1</v>
      </c>
      <c r="AH11" s="17" t="n">
        <f aca="false">AD11</f>
        <v>1.62</v>
      </c>
      <c r="AI11" s="19" t="n">
        <f aca="false">MAX(ABS(W11), X11)</f>
        <v>0.395217961227249</v>
      </c>
      <c r="AJ11" s="17" t="n">
        <f aca="false">AH11*AI11</f>
        <v>0.640253097188144</v>
      </c>
      <c r="AK11" s="20" t="s">
        <v>36</v>
      </c>
    </row>
    <row r="12" customFormat="false" ht="12.8" hidden="false" customHeight="false" outlineLevel="0" collapsed="false">
      <c r="A12" s="0" t="s">
        <v>43</v>
      </c>
      <c r="B12" s="10" t="n">
        <f aca="false">(C12/$C$13)*100</f>
        <v>6.24745245847193</v>
      </c>
      <c r="C12" s="10" t="n">
        <f aca="false">13*$B$82</f>
        <v>52</v>
      </c>
      <c r="F12" s="0" t="s">
        <v>44</v>
      </c>
      <c r="G12" s="24" t="n">
        <f aca="false">24*(1/5.73)</f>
        <v>4.18848167539267</v>
      </c>
      <c r="H12" s="0" t="n">
        <f aca="false">F27*G12/1000</f>
        <v>18.0326982198953</v>
      </c>
      <c r="I12" s="11" t="s">
        <v>45</v>
      </c>
      <c r="Q12" s="0" t="str">
        <f aca="false">A12</f>
        <v>Tyre</v>
      </c>
      <c r="R12" s="12" t="n">
        <v>52</v>
      </c>
      <c r="S12" s="13" t="n">
        <f aca="false">R12*(1-$R$2)</f>
        <v>46.8</v>
      </c>
      <c r="T12" s="13" t="n">
        <f aca="false">R12*(1+$R$2)</f>
        <v>57.2</v>
      </c>
      <c r="U12" s="15" t="n">
        <v>0.00305333</v>
      </c>
      <c r="V12" s="15" t="n">
        <v>0.00301204</v>
      </c>
      <c r="W12" s="22" t="n">
        <f aca="false">(U12-$U$2)/$U$2 *100</f>
        <v>0.310129472484219</v>
      </c>
      <c r="X12" s="22" t="n">
        <f aca="false">(V12-$U$2)/$U$2 *100</f>
        <v>-1.04635844265069</v>
      </c>
      <c r="Y12" s="0" t="n">
        <v>4</v>
      </c>
      <c r="Z12" s="0" t="n">
        <v>2</v>
      </c>
      <c r="AA12" s="0" t="n">
        <v>1</v>
      </c>
      <c r="AB12" s="0" t="n">
        <v>5</v>
      </c>
      <c r="AC12" s="0" t="n">
        <v>1</v>
      </c>
      <c r="AD12" s="25" t="n">
        <v>2.16</v>
      </c>
      <c r="AE12" s="25"/>
      <c r="AF12" s="18" t="str">
        <f aca="false">Q12</f>
        <v>Tyre</v>
      </c>
      <c r="AG12" s="17" t="str">
        <f aca="false">_xlfn.CONCAT(Y12,",",Z12,",",AA12,",",AB12,",",AC12)</f>
        <v>4,2,1,5,1</v>
      </c>
      <c r="AH12" s="17" t="n">
        <f aca="false">AD12</f>
        <v>2.16</v>
      </c>
      <c r="AI12" s="19" t="n">
        <f aca="false">MAX(ABS(W12), X12)</f>
        <v>0.310129472484219</v>
      </c>
      <c r="AJ12" s="17" t="n">
        <f aca="false">AH12*AI12</f>
        <v>0.669879660565912</v>
      </c>
      <c r="AK12" s="20" t="s">
        <v>36</v>
      </c>
    </row>
    <row r="13" customFormat="false" ht="12.8" hidden="false" customHeight="false" outlineLevel="0" collapsed="false">
      <c r="C13" s="26" t="n">
        <f aca="false">SUM(C7:C12)</f>
        <v>832.339267015707</v>
      </c>
      <c r="H13" s="0" t="n">
        <f aca="false">SUM(H11:H12)</f>
        <v>569.111955819895</v>
      </c>
      <c r="AG13" s="17"/>
      <c r="AH13" s="17"/>
      <c r="AI13" s="19"/>
      <c r="AJ13" s="17"/>
      <c r="AK13" s="20"/>
    </row>
    <row r="14" customFormat="false" ht="12.8" hidden="false" customHeight="false" outlineLevel="0" collapsed="false">
      <c r="AG14" s="17"/>
      <c r="AH14" s="17"/>
      <c r="AI14" s="19"/>
      <c r="AJ14" s="17"/>
      <c r="AK14" s="20"/>
    </row>
    <row r="15" customFormat="false" ht="12.8" hidden="false" customHeight="false" outlineLevel="0" collapsed="false">
      <c r="A15" s="5" t="s">
        <v>46</v>
      </c>
      <c r="F15" s="5" t="s">
        <v>47</v>
      </c>
      <c r="G15" s="0" t="n">
        <f aca="false">0.171*B77</f>
        <v>0.684</v>
      </c>
      <c r="Q15" s="5" t="s">
        <v>7</v>
      </c>
      <c r="R15" s="5" t="s">
        <v>8</v>
      </c>
      <c r="S15" s="5"/>
      <c r="T15" s="5"/>
      <c r="U15" s="5" t="s">
        <v>48</v>
      </c>
      <c r="V15" s="5"/>
      <c r="W15" s="5" t="s">
        <v>10</v>
      </c>
      <c r="AG15" s="17"/>
      <c r="AH15" s="17"/>
      <c r="AI15" s="19"/>
      <c r="AJ15" s="17"/>
      <c r="AK15" s="20"/>
    </row>
    <row r="16" customFormat="false" ht="23.85" hidden="false" customHeight="false" outlineLevel="0" collapsed="false">
      <c r="A16" s="9" t="s">
        <v>20</v>
      </c>
      <c r="B16" s="9" t="s">
        <v>21</v>
      </c>
      <c r="C16" s="9" t="s">
        <v>22</v>
      </c>
      <c r="F16" s="0" t="s">
        <v>49</v>
      </c>
      <c r="G16" s="0" t="n">
        <f aca="false">0.4*G15</f>
        <v>0.2736</v>
      </c>
      <c r="H16" s="0" t="n">
        <f aca="false">$F$30*G16/1000</f>
        <v>1.72368</v>
      </c>
      <c r="I16" s="9" t="s">
        <v>24</v>
      </c>
      <c r="Q16" s="9" t="s">
        <v>20</v>
      </c>
      <c r="R16" s="9" t="s">
        <v>25</v>
      </c>
      <c r="S16" s="9" t="s">
        <v>26</v>
      </c>
      <c r="T16" s="9" t="s">
        <v>27</v>
      </c>
      <c r="U16" s="9" t="s">
        <v>26</v>
      </c>
      <c r="V16" s="9" t="s">
        <v>27</v>
      </c>
      <c r="W16" s="0" t="s">
        <v>26</v>
      </c>
      <c r="X16" s="0" t="s">
        <v>27</v>
      </c>
      <c r="AF16" s="5" t="s">
        <v>50</v>
      </c>
      <c r="AG16" s="7" t="s">
        <v>16</v>
      </c>
      <c r="AH16" s="7" t="s">
        <v>17</v>
      </c>
      <c r="AI16" s="7" t="s">
        <v>18</v>
      </c>
      <c r="AJ16" s="7" t="s">
        <v>19</v>
      </c>
      <c r="AK16" s="20"/>
    </row>
    <row r="17" customFormat="false" ht="23.85" hidden="false" customHeight="false" outlineLevel="0" collapsed="false">
      <c r="A17" s="0" t="s">
        <v>23</v>
      </c>
      <c r="B17" s="10" t="n">
        <f aca="false">(C17/$C$21)*100</f>
        <v>79.2104004577341</v>
      </c>
      <c r="C17" s="10" t="n">
        <f aca="false">(B77 * (1.157 + 5.656 + 9.975+12.09) + G6 + 200 )*1.1</f>
        <v>347.3272</v>
      </c>
      <c r="E17" s="0" t="n">
        <f aca="false">F25*C17 * 1/1000</f>
        <v>691.181128</v>
      </c>
      <c r="F17" s="0" t="s">
        <v>6</v>
      </c>
      <c r="G17" s="0" t="n">
        <f aca="false">0.6*G15*1.1</f>
        <v>0.45144</v>
      </c>
      <c r="H17" s="0" t="n">
        <f aca="false">F26*G17/1000</f>
        <v>1.43845193844</v>
      </c>
      <c r="I17" s="11" t="s">
        <v>51</v>
      </c>
      <c r="Q17" s="0" t="str">
        <f aca="false">A17</f>
        <v>Aluminium</v>
      </c>
      <c r="R17" s="27" t="n">
        <v>347.3</v>
      </c>
      <c r="S17" s="13" t="n">
        <f aca="false">R17*(1-$R$2)</f>
        <v>312.57</v>
      </c>
      <c r="T17" s="13" t="n">
        <f aca="false">S17*(1+$R$2)</f>
        <v>343.827</v>
      </c>
      <c r="U17" s="14" t="n">
        <v>0.00291988</v>
      </c>
      <c r="V17" s="15" t="n">
        <v>0.00317416</v>
      </c>
      <c r="W17" s="28" t="n">
        <f aca="false">(U17-$U$2)/$U$2 *100</f>
        <v>-4.07406312317462</v>
      </c>
      <c r="X17" s="28" t="n">
        <f aca="false">(V17-$U$2)/$U$2 *100</f>
        <v>4.27972101488556</v>
      </c>
      <c r="Y17" s="0" t="n">
        <v>3</v>
      </c>
      <c r="Z17" s="0" t="n">
        <v>2</v>
      </c>
      <c r="AA17" s="0" t="n">
        <v>1</v>
      </c>
      <c r="AB17" s="0" t="n">
        <v>2</v>
      </c>
      <c r="AC17" s="0" t="n">
        <v>1</v>
      </c>
      <c r="AD17" s="17" t="n">
        <v>1.65</v>
      </c>
      <c r="AF17" s="0" t="str">
        <f aca="false">Q17</f>
        <v>Aluminium</v>
      </c>
      <c r="AG17" s="17" t="str">
        <f aca="false">_xlfn.CONCAT(Y17,",",Z17,",",AA17,",",AB17,",",AC17)</f>
        <v>3,2,1,2,1</v>
      </c>
      <c r="AH17" s="17" t="n">
        <f aca="false">AD17</f>
        <v>1.65</v>
      </c>
      <c r="AI17" s="19" t="n">
        <f aca="false">MAX(ABS(W17), X17)</f>
        <v>4.27972101488556</v>
      </c>
      <c r="AJ17" s="29" t="n">
        <f aca="false">AH17*AI17</f>
        <v>7.06153967456117</v>
      </c>
      <c r="AK17" s="20" t="s">
        <v>52</v>
      </c>
    </row>
    <row r="18" customFormat="false" ht="23.85" hidden="false" customHeight="false" outlineLevel="0" collapsed="false">
      <c r="A18" s="0" t="s">
        <v>6</v>
      </c>
      <c r="B18" s="10" t="n">
        <f aca="false">(C18/$C$21)*100</f>
        <v>1.86550628843426</v>
      </c>
      <c r="C18" s="10" t="n">
        <f aca="false">(2*4 + G5 )</f>
        <v>8.18</v>
      </c>
      <c r="E18" s="0" t="n">
        <f aca="false">C18*F26*1/1000</f>
        <v>26.06445343</v>
      </c>
      <c r="H18" s="0" t="n">
        <f aca="false">SUM(H16:H17)</f>
        <v>3.16213193844</v>
      </c>
      <c r="I18" s="11" t="s">
        <v>53</v>
      </c>
      <c r="Q18" s="0" t="str">
        <f aca="false">A18</f>
        <v>Plastic</v>
      </c>
      <c r="R18" s="27" t="n">
        <v>8.2</v>
      </c>
      <c r="S18" s="13" t="n">
        <f aca="false">R18*(1-$R$2)</f>
        <v>7.38</v>
      </c>
      <c r="T18" s="13" t="n">
        <f aca="false">S18*(1+$R$2)</f>
        <v>8.118</v>
      </c>
      <c r="U18" s="15" t="n">
        <v>0.00304387</v>
      </c>
      <c r="V18" s="14" t="n">
        <v>0.00304391</v>
      </c>
      <c r="W18" s="22" t="n">
        <f aca="false">(U18-$U$2)/$U$2 *100</f>
        <v>-0.000657053967123688</v>
      </c>
      <c r="X18" s="22" t="n">
        <f aca="false">(V18-$U$2)/$U$2 *100</f>
        <v>0.000657053967123688</v>
      </c>
      <c r="Y18" s="0" t="n">
        <v>5</v>
      </c>
      <c r="Z18" s="0" t="n">
        <v>5</v>
      </c>
      <c r="AA18" s="0" t="n">
        <v>2</v>
      </c>
      <c r="AB18" s="0" t="n">
        <v>5</v>
      </c>
      <c r="AC18" s="0" t="n">
        <v>2</v>
      </c>
      <c r="AD18" s="17" t="n">
        <v>3.57</v>
      </c>
      <c r="AF18" s="0" t="str">
        <f aca="false">Q18</f>
        <v>Plastic</v>
      </c>
      <c r="AG18" s="17" t="str">
        <f aca="false">_xlfn.CONCAT(Y18,",",Z18,",",AA18,",",AB18,",",AC18)</f>
        <v>5,5,2,5,2</v>
      </c>
      <c r="AH18" s="17" t="n">
        <f aca="false">AD18</f>
        <v>3.57</v>
      </c>
      <c r="AI18" s="19" t="n">
        <f aca="false">MAX(ABS(W18), X18)</f>
        <v>0.000657053967123688</v>
      </c>
      <c r="AJ18" s="30" t="n">
        <f aca="false">AH18*AI18</f>
        <v>0.00234568266263157</v>
      </c>
      <c r="AK18" s="20" t="s">
        <v>54</v>
      </c>
    </row>
    <row r="19" customFormat="false" ht="23.85" hidden="false" customHeight="false" outlineLevel="0" collapsed="false">
      <c r="A19" s="0" t="s">
        <v>49</v>
      </c>
      <c r="B19" s="10" t="n">
        <f aca="false">(C19/$C$21)*100</f>
        <v>0.0623963961510531</v>
      </c>
      <c r="C19" s="10" t="n">
        <f aca="false">G16</f>
        <v>0.2736</v>
      </c>
      <c r="E19" s="0" t="n">
        <f aca="false">1.72</f>
        <v>1.72</v>
      </c>
      <c r="F19" s="5" t="s">
        <v>55</v>
      </c>
      <c r="I19" s="11" t="s">
        <v>56</v>
      </c>
      <c r="Q19" s="0" t="str">
        <f aca="false">A19</f>
        <v>Silicone</v>
      </c>
      <c r="R19" s="27" t="n">
        <v>0.3</v>
      </c>
      <c r="S19" s="13" t="n">
        <f aca="false">R19*(1-$R$2)</f>
        <v>0.27</v>
      </c>
      <c r="T19" s="13" t="n">
        <f aca="false">S19*(1+$R$2)</f>
        <v>0.297</v>
      </c>
      <c r="U19" s="15" t="n">
        <v>0.00304389</v>
      </c>
      <c r="V19" s="14" t="n">
        <v>0.00304389</v>
      </c>
      <c r="W19" s="22" t="n">
        <f aca="false">(U19-$U$2)/$U$2 *100</f>
        <v>0</v>
      </c>
      <c r="X19" s="22" t="n">
        <f aca="false">(V19-$U$2)/$U$2 *100</f>
        <v>0</v>
      </c>
      <c r="Y19" s="0" t="n">
        <v>2</v>
      </c>
      <c r="Z19" s="0" t="n">
        <v>2</v>
      </c>
      <c r="AA19" s="0" t="n">
        <v>1</v>
      </c>
      <c r="AB19" s="0" t="n">
        <v>2</v>
      </c>
      <c r="AC19" s="0" t="n">
        <v>2</v>
      </c>
      <c r="AD19" s="17" t="n">
        <v>1.8</v>
      </c>
      <c r="AF19" s="0" t="str">
        <f aca="false">Q19</f>
        <v>Silicone</v>
      </c>
      <c r="AG19" s="17" t="str">
        <f aca="false">_xlfn.CONCAT(Y19,",",Z19,",",AA19,",",AB19,",",AC19)</f>
        <v>2,2,1,2,2</v>
      </c>
      <c r="AH19" s="17" t="n">
        <f aca="false">AD19</f>
        <v>1.8</v>
      </c>
      <c r="AI19" s="19" t="n">
        <f aca="false">MAX(ABS(W19), X19)</f>
        <v>0</v>
      </c>
      <c r="AJ19" s="30" t="n">
        <f aca="false">AH19*AI19</f>
        <v>0</v>
      </c>
      <c r="AK19" s="20" t="s">
        <v>57</v>
      </c>
    </row>
    <row r="20" customFormat="false" ht="12.75" hidden="false" customHeight="false" outlineLevel="0" collapsed="false">
      <c r="A20" s="0" t="s">
        <v>29</v>
      </c>
      <c r="B20" s="10" t="n">
        <f aca="false">(C20/$C$21)*100</f>
        <v>18.8616968576806</v>
      </c>
      <c r="C20" s="10" t="n">
        <f aca="false">(C9 + G7)*1.1</f>
        <v>82.7060628272251</v>
      </c>
      <c r="E20" s="0" t="n">
        <f aca="false">F27*C20*1/1000</f>
        <v>356.074966420673</v>
      </c>
      <c r="F20" s="0" t="s">
        <v>6</v>
      </c>
      <c r="G20" s="0" t="n">
        <f aca="false">B77*2</f>
        <v>8</v>
      </c>
      <c r="H20" s="0" t="n">
        <f aca="false">G20*F26/1000</f>
        <v>25.490908</v>
      </c>
      <c r="I20" s="11" t="s">
        <v>58</v>
      </c>
      <c r="Q20" s="0" t="str">
        <f aca="false">A20</f>
        <v>Copper</v>
      </c>
      <c r="R20" s="27" t="n">
        <v>82.7</v>
      </c>
      <c r="S20" s="13" t="n">
        <f aca="false">R20*(1-$R$2)</f>
        <v>74.43</v>
      </c>
      <c r="T20" s="13" t="n">
        <f aca="false">S20*(1+$R$2)</f>
        <v>81.873</v>
      </c>
      <c r="U20" s="15" t="n">
        <v>0.00300782</v>
      </c>
      <c r="V20" s="14" t="n">
        <v>0.00308189</v>
      </c>
      <c r="W20" s="21" t="n">
        <f aca="false">(U20-$U$2)/$U$2 *100</f>
        <v>-1.18499682971461</v>
      </c>
      <c r="X20" s="21" t="n">
        <f aca="false">(V20-$U$2)/$U$2 *100</f>
        <v>1.24840253754242</v>
      </c>
      <c r="Y20" s="0" t="n">
        <v>5</v>
      </c>
      <c r="Z20" s="0" t="n">
        <v>4</v>
      </c>
      <c r="AA20" s="0" t="n">
        <v>1</v>
      </c>
      <c r="AB20" s="0" t="n">
        <v>5</v>
      </c>
      <c r="AC20" s="0" t="n">
        <v>2</v>
      </c>
      <c r="AD20" s="17" t="n">
        <v>3.24</v>
      </c>
      <c r="AF20" s="0" t="str">
        <f aca="false">Q20</f>
        <v>Copper</v>
      </c>
      <c r="AG20" s="17" t="str">
        <f aca="false">_xlfn.CONCAT(Y20,",",Z20,",",AA20,",",AB20,",",AC20)</f>
        <v>5,4,1,5,2</v>
      </c>
      <c r="AH20" s="17" t="n">
        <f aca="false">AD20</f>
        <v>3.24</v>
      </c>
      <c r="AI20" s="19" t="n">
        <f aca="false">MAX(ABS(W20), X20)</f>
        <v>1.24840253754242</v>
      </c>
      <c r="AJ20" s="31" t="n">
        <f aca="false">AH20*AI20</f>
        <v>4.04482422163743</v>
      </c>
      <c r="AK20" s="20" t="s">
        <v>59</v>
      </c>
    </row>
    <row r="21" customFormat="false" ht="12.75" hidden="false" customHeight="false" outlineLevel="0" collapsed="false">
      <c r="C21" s="26" t="n">
        <f aca="false">SUM(C17:C20)</f>
        <v>438.486862827225</v>
      </c>
      <c r="E21" s="0" t="n">
        <f aca="false">SUM(E17:E20)</f>
        <v>1075.04054785067</v>
      </c>
      <c r="AG21" s="17"/>
      <c r="AH21" s="17"/>
      <c r="AI21" s="19"/>
      <c r="AJ21" s="17"/>
      <c r="AK21" s="20"/>
    </row>
    <row r="22" customFormat="false" ht="12.8" hidden="false" customHeight="false" outlineLevel="0" collapsed="false">
      <c r="Q22" s="5" t="s">
        <v>7</v>
      </c>
      <c r="R22" s="5" t="s">
        <v>60</v>
      </c>
      <c r="S22" s="5"/>
      <c r="T22" s="5"/>
      <c r="U22" s="5" t="s">
        <v>48</v>
      </c>
      <c r="V22" s="5"/>
      <c r="W22" s="5" t="s">
        <v>10</v>
      </c>
      <c r="X22" s="5"/>
      <c r="AG22" s="17"/>
      <c r="AH22" s="17"/>
      <c r="AI22" s="19"/>
      <c r="AJ22" s="17"/>
      <c r="AK22" s="20"/>
    </row>
    <row r="23" customFormat="false" ht="23.85" hidden="false" customHeight="false" outlineLevel="0" collapsed="false">
      <c r="A23" s="5" t="s">
        <v>61</v>
      </c>
      <c r="Q23" s="9" t="s">
        <v>62</v>
      </c>
      <c r="R23" s="9" t="s">
        <v>25</v>
      </c>
      <c r="S23" s="9" t="s">
        <v>26</v>
      </c>
      <c r="T23" s="9" t="s">
        <v>27</v>
      </c>
      <c r="U23" s="9" t="s">
        <v>26</v>
      </c>
      <c r="V23" s="9" t="s">
        <v>27</v>
      </c>
      <c r="W23" s="9" t="s">
        <v>26</v>
      </c>
      <c r="X23" s="9" t="s">
        <v>27</v>
      </c>
      <c r="AF23" s="5" t="s">
        <v>63</v>
      </c>
      <c r="AG23" s="7" t="s">
        <v>16</v>
      </c>
      <c r="AH23" s="7" t="s">
        <v>17</v>
      </c>
      <c r="AI23" s="7" t="s">
        <v>18</v>
      </c>
      <c r="AJ23" s="7" t="s">
        <v>19</v>
      </c>
      <c r="AK23" s="20"/>
    </row>
    <row r="24" customFormat="false" ht="23.85" hidden="false" customHeight="false" outlineLevel="0" collapsed="false">
      <c r="A24" s="9" t="s">
        <v>64</v>
      </c>
      <c r="B24" s="32" t="s">
        <v>22</v>
      </c>
      <c r="C24" s="32" t="s">
        <v>65</v>
      </c>
      <c r="D24" s="32" t="s">
        <v>66</v>
      </c>
      <c r="F24" s="0" t="s">
        <v>67</v>
      </c>
      <c r="I24" s="32" t="s">
        <v>24</v>
      </c>
      <c r="Q24" s="0" t="str">
        <f aca="false">A40</f>
        <v>Laser cutting</v>
      </c>
      <c r="R24" s="33" t="n">
        <v>2</v>
      </c>
      <c r="S24" s="13" t="n">
        <f aca="false">R24*(1-$R$2)</f>
        <v>1.8</v>
      </c>
      <c r="T24" s="13" t="n">
        <f aca="false">R24*(1+$R$2)</f>
        <v>2.2</v>
      </c>
      <c r="U24" s="34" t="n">
        <v>0.00304389</v>
      </c>
      <c r="V24" s="35" t="n">
        <v>0.00304389</v>
      </c>
      <c r="W24" s="36" t="n">
        <f aca="false">(U24-$U$2)/$U$2 *100</f>
        <v>0</v>
      </c>
      <c r="X24" s="36" t="n">
        <f aca="false">(V24-$U$2)/$U$2 *100</f>
        <v>0</v>
      </c>
      <c r="Y24" s="0" t="n">
        <v>2</v>
      </c>
      <c r="Z24" s="0" t="n">
        <v>3</v>
      </c>
      <c r="AA24" s="0" t="n">
        <v>1</v>
      </c>
      <c r="AB24" s="0" t="n">
        <v>2</v>
      </c>
      <c r="AC24" s="0" t="n">
        <v>1</v>
      </c>
      <c r="AD24" s="0" t="n">
        <v>1.59</v>
      </c>
      <c r="AF24" s="0" t="str">
        <f aca="false">Q24</f>
        <v>Laser cutting</v>
      </c>
      <c r="AG24" s="17" t="str">
        <f aca="false">_xlfn.CONCAT(Y24,",",Z24,",",AA24,",",AB24,",",AC24)</f>
        <v>2,3,1,2,1</v>
      </c>
      <c r="AH24" s="17" t="n">
        <f aca="false">AD24</f>
        <v>1.59</v>
      </c>
      <c r="AI24" s="19" t="n">
        <f aca="false">MAX(ABS(W24), X24)</f>
        <v>0</v>
      </c>
      <c r="AJ24" s="30" t="n">
        <f aca="false">AH24*AI24</f>
        <v>0</v>
      </c>
      <c r="AK24" s="20" t="s">
        <v>68</v>
      </c>
    </row>
    <row r="25" customFormat="false" ht="23.85" hidden="false" customHeight="false" outlineLevel="0" collapsed="false">
      <c r="A25" s="0" t="s">
        <v>23</v>
      </c>
      <c r="B25" s="10" t="n">
        <f aca="false">SUM($C$7, $C$17)</f>
        <v>703.059137172775</v>
      </c>
      <c r="C25" s="37" t="n">
        <f aca="false">B25*0.001</f>
        <v>0.703059137172775</v>
      </c>
      <c r="D25" s="38" t="n">
        <f aca="false">F25*C25</f>
        <v>1399.08768297382</v>
      </c>
      <c r="F25" s="24" t="n">
        <v>1990</v>
      </c>
      <c r="I25" s="11" t="s">
        <v>69</v>
      </c>
      <c r="Q25" s="0" t="str">
        <f aca="false">A41</f>
        <v>Welding</v>
      </c>
      <c r="R25" s="33" t="n">
        <v>144</v>
      </c>
      <c r="S25" s="13" t="n">
        <f aca="false">R25*(1-$R$2)</f>
        <v>129.6</v>
      </c>
      <c r="T25" s="13" t="n">
        <f aca="false">R25*(1+$R$2)</f>
        <v>158.4</v>
      </c>
      <c r="U25" s="35" t="n">
        <v>0.00304388</v>
      </c>
      <c r="V25" s="35" t="n">
        <v>0.0030439</v>
      </c>
      <c r="W25" s="39" t="n">
        <f aca="false">(U25-$U$2)/$U$2 *100</f>
        <v>-0.000328526983561844</v>
      </c>
      <c r="X25" s="40" t="n">
        <f aca="false">(V25-$U$2)/$U$2 *100</f>
        <v>0.000328526983561844</v>
      </c>
      <c r="Y25" s="0" t="n">
        <v>3</v>
      </c>
      <c r="Z25" s="0" t="n">
        <v>3</v>
      </c>
      <c r="AA25" s="0" t="n">
        <v>1</v>
      </c>
      <c r="AB25" s="0" t="n">
        <v>2</v>
      </c>
      <c r="AC25" s="0" t="n">
        <v>2</v>
      </c>
      <c r="AD25" s="0" t="n">
        <v>2.03</v>
      </c>
      <c r="AF25" s="0" t="str">
        <f aca="false">Q25</f>
        <v>Welding</v>
      </c>
      <c r="AG25" s="17" t="str">
        <f aca="false">_xlfn.CONCAT(Y25,",",Z25,",",AA25,",",AB25,",",AC25)</f>
        <v>3,3,1,2,2</v>
      </c>
      <c r="AH25" s="17" t="n">
        <f aca="false">AD25</f>
        <v>2.03</v>
      </c>
      <c r="AI25" s="19" t="n">
        <f aca="false">MAX(ABS(W25), X25)</f>
        <v>0.000328526983561844</v>
      </c>
      <c r="AJ25" s="30" t="n">
        <f aca="false">AH25*AI25</f>
        <v>0.000666909776630543</v>
      </c>
      <c r="AK25" s="20" t="s">
        <v>70</v>
      </c>
    </row>
    <row r="26" customFormat="false" ht="35.05" hidden="false" customHeight="false" outlineLevel="0" collapsed="false">
      <c r="A26" s="0" t="s">
        <v>6</v>
      </c>
      <c r="B26" s="10" t="n">
        <f aca="false">$C$18</f>
        <v>8.18</v>
      </c>
      <c r="C26" s="37" t="n">
        <f aca="false">B26*0.001</f>
        <v>0.00818</v>
      </c>
      <c r="D26" s="38" t="n">
        <f aca="false">F26*C26</f>
        <v>26.06445343</v>
      </c>
      <c r="F26" s="0" t="n">
        <f aca="false">3186.3635</f>
        <v>3186.3635</v>
      </c>
      <c r="I26" s="11" t="s">
        <v>71</v>
      </c>
      <c r="Q26" s="0" t="str">
        <f aca="false">A42</f>
        <v>Fabrication/Machining</v>
      </c>
      <c r="R26" s="33" t="n">
        <v>180.5</v>
      </c>
      <c r="S26" s="13" t="n">
        <f aca="false">R26*(1-$R$2)</f>
        <v>162.45</v>
      </c>
      <c r="T26" s="13" t="n">
        <f aca="false">R26*(1+$R$2)</f>
        <v>198.55</v>
      </c>
      <c r="U26" s="35" t="n">
        <v>0.00304387</v>
      </c>
      <c r="V26" s="35" t="n">
        <v>0.00304391</v>
      </c>
      <c r="W26" s="39" t="n">
        <f aca="false">(U26-$U$2)/$U$2 *100</f>
        <v>-0.000657053967123688</v>
      </c>
      <c r="X26" s="40" t="n">
        <f aca="false">(V26-$U$2)/$U$2 *100</f>
        <v>0.000657053967123688</v>
      </c>
      <c r="Y26" s="0" t="n">
        <v>4</v>
      </c>
      <c r="Z26" s="0" t="n">
        <v>3</v>
      </c>
      <c r="AA26" s="0" t="n">
        <v>1</v>
      </c>
      <c r="AB26" s="0" t="n">
        <v>2</v>
      </c>
      <c r="AC26" s="0" t="n">
        <v>2</v>
      </c>
      <c r="AD26" s="0" t="n">
        <v>2.27</v>
      </c>
      <c r="AF26" s="0" t="str">
        <f aca="false">Q26</f>
        <v>Fabrication/Machining</v>
      </c>
      <c r="AG26" s="17" t="str">
        <f aca="false">_xlfn.CONCAT(Y26,",",Z26,",",AA26,",",AB26,",",AC26)</f>
        <v>4,3,1,2,2</v>
      </c>
      <c r="AH26" s="17" t="n">
        <f aca="false">AD26</f>
        <v>2.27</v>
      </c>
      <c r="AI26" s="19" t="n">
        <f aca="false">MAX(ABS(W26), X26)</f>
        <v>0.000657053967123688</v>
      </c>
      <c r="AJ26" s="30" t="n">
        <f aca="false">AH26*AI26</f>
        <v>0.00149151250537077</v>
      </c>
      <c r="AK26" s="20" t="s">
        <v>72</v>
      </c>
    </row>
    <row r="27" customFormat="false" ht="35.05" hidden="false" customHeight="false" outlineLevel="0" collapsed="false">
      <c r="A27" s="0" t="s">
        <v>29</v>
      </c>
      <c r="B27" s="10" t="n">
        <f aca="false">SUM($C$9,$C$20)</f>
        <v>157.713392670157</v>
      </c>
      <c r="C27" s="37" t="n">
        <f aca="false">B27*0.001</f>
        <v>0.157713392670157</v>
      </c>
      <c r="D27" s="38" t="n">
        <f aca="false">F27*C27</f>
        <v>679.004526142558</v>
      </c>
      <c r="F27" s="41" t="n">
        <v>4305.3067</v>
      </c>
      <c r="I27" s="11" t="s">
        <v>73</v>
      </c>
      <c r="Q27" s="0" t="str">
        <f aca="false">A43</f>
        <v>3D Printing</v>
      </c>
      <c r="R27" s="33" t="n">
        <v>0.429</v>
      </c>
      <c r="S27" s="13" t="n">
        <f aca="false">R27*(1-$R$2)</f>
        <v>0.3861</v>
      </c>
      <c r="T27" s="13" t="n">
        <f aca="false">R27*(1+$R$2)</f>
        <v>0.4719</v>
      </c>
      <c r="U27" s="35" t="n">
        <v>0.00304389</v>
      </c>
      <c r="V27" s="35" t="n">
        <v>0.00304389</v>
      </c>
      <c r="W27" s="36" t="n">
        <f aca="false">(U27-$U$2)/$U$2 *100</f>
        <v>0</v>
      </c>
      <c r="X27" s="36" t="n">
        <f aca="false">(V27-$U$2)/$U$2 *100</f>
        <v>0</v>
      </c>
      <c r="Y27" s="0" t="n">
        <v>2</v>
      </c>
      <c r="Z27" s="0" t="n">
        <v>2</v>
      </c>
      <c r="AA27" s="0" t="n">
        <v>1</v>
      </c>
      <c r="AB27" s="0" t="n">
        <v>2</v>
      </c>
      <c r="AC27" s="0" t="n">
        <v>2</v>
      </c>
      <c r="AD27" s="0" t="n">
        <v>1.8</v>
      </c>
      <c r="AF27" s="0" t="str">
        <f aca="false">Q27</f>
        <v>3D Printing</v>
      </c>
      <c r="AG27" s="17" t="str">
        <f aca="false">_xlfn.CONCAT(Y27,",",Z27,",",AA27,",",AB27,",",AC27)</f>
        <v>2,2,1,2,2</v>
      </c>
      <c r="AH27" s="17" t="n">
        <f aca="false">AD27</f>
        <v>1.8</v>
      </c>
      <c r="AI27" s="19" t="n">
        <f aca="false">MAX(ABS(W27), X27)</f>
        <v>0</v>
      </c>
      <c r="AJ27" s="30" t="n">
        <f aca="false">AH27*AI27</f>
        <v>0</v>
      </c>
      <c r="AK27" s="20" t="s">
        <v>74</v>
      </c>
    </row>
    <row r="28" customFormat="false" ht="12.8" hidden="false" customHeight="false" outlineLevel="0" collapsed="false">
      <c r="A28" s="0" t="s">
        <v>75</v>
      </c>
      <c r="B28" s="10" t="n">
        <f aca="false">$C$12</f>
        <v>52</v>
      </c>
      <c r="C28" s="37" t="n">
        <f aca="false">B28*0.001</f>
        <v>0.052</v>
      </c>
      <c r="D28" s="38" t="n">
        <f aca="false">F28*C28</f>
        <v>173.4497388</v>
      </c>
      <c r="F28" s="24" t="n">
        <v>3335.5719</v>
      </c>
      <c r="I28" s="11" t="s">
        <v>76</v>
      </c>
      <c r="AG28" s="17"/>
      <c r="AH28" s="17"/>
      <c r="AI28" s="19"/>
      <c r="AJ28" s="17"/>
      <c r="AK28" s="20"/>
    </row>
    <row r="29" customFormat="false" ht="12.8" hidden="false" customHeight="false" outlineLevel="0" collapsed="false">
      <c r="A29" s="0" t="s">
        <v>77</v>
      </c>
      <c r="B29" s="10" t="n">
        <f aca="false">$C$11</f>
        <v>44.6</v>
      </c>
      <c r="C29" s="37" t="n">
        <f aca="false">B29*0.001</f>
        <v>0.0446</v>
      </c>
      <c r="D29" s="38" t="n">
        <f aca="false">F29*C29</f>
        <v>192.01667882</v>
      </c>
      <c r="F29" s="41" t="n">
        <v>4305.3067</v>
      </c>
      <c r="I29" s="11" t="s">
        <v>73</v>
      </c>
      <c r="AG29" s="17"/>
      <c r="AH29" s="17"/>
      <c r="AI29" s="19"/>
      <c r="AJ29" s="17"/>
      <c r="AK29" s="20"/>
    </row>
    <row r="30" customFormat="false" ht="12.8" hidden="false" customHeight="false" outlineLevel="0" collapsed="false">
      <c r="A30" s="0" t="s">
        <v>49</v>
      </c>
      <c r="B30" s="10" t="n">
        <f aca="false">$C$19</f>
        <v>0.2736</v>
      </c>
      <c r="C30" s="37" t="n">
        <f aca="false">B30*0.001</f>
        <v>0.0002736</v>
      </c>
      <c r="D30" s="38" t="n">
        <f aca="false">F30*C30</f>
        <v>1.72368</v>
      </c>
      <c r="F30" s="41" t="n">
        <f aca="false">6.3*1000</f>
        <v>6300</v>
      </c>
      <c r="I30" s="11" t="s">
        <v>78</v>
      </c>
      <c r="Q30" s="5" t="s">
        <v>7</v>
      </c>
      <c r="S30" s="5" t="s">
        <v>8</v>
      </c>
      <c r="T30" s="5"/>
      <c r="U30" s="5" t="s">
        <v>48</v>
      </c>
      <c r="W30" s="5" t="s">
        <v>10</v>
      </c>
      <c r="AG30" s="17"/>
      <c r="AH30" s="17"/>
      <c r="AI30" s="19"/>
      <c r="AJ30" s="17"/>
      <c r="AK30" s="20"/>
    </row>
    <row r="31" customFormat="false" ht="24.25" hidden="false" customHeight="false" outlineLevel="0" collapsed="false">
      <c r="A31" s="0" t="s">
        <v>37</v>
      </c>
      <c r="B31" s="10" t="n">
        <f aca="false">$C$10</f>
        <v>96</v>
      </c>
      <c r="C31" s="37" t="n">
        <f aca="false">B31*0.001</f>
        <v>0.096</v>
      </c>
      <c r="D31" s="38" t="n">
        <f aca="false">F31*C31</f>
        <v>1161.024</v>
      </c>
      <c r="F31" s="41" t="n">
        <v>12094</v>
      </c>
      <c r="I31" s="11" t="s">
        <v>79</v>
      </c>
      <c r="Q31" s="9" t="s">
        <v>80</v>
      </c>
      <c r="R31" s="9" t="s">
        <v>25</v>
      </c>
      <c r="S31" s="9" t="s">
        <v>26</v>
      </c>
      <c r="T31" s="9" t="s">
        <v>27</v>
      </c>
      <c r="U31" s="9" t="s">
        <v>26</v>
      </c>
      <c r="V31" s="9" t="s">
        <v>27</v>
      </c>
      <c r="W31" s="0" t="s">
        <v>26</v>
      </c>
      <c r="X31" s="0" t="s">
        <v>27</v>
      </c>
      <c r="AF31" s="5" t="s">
        <v>81</v>
      </c>
      <c r="AG31" s="7" t="s">
        <v>16</v>
      </c>
      <c r="AH31" s="7" t="s">
        <v>17</v>
      </c>
      <c r="AI31" s="7" t="s">
        <v>18</v>
      </c>
      <c r="AJ31" s="7" t="s">
        <v>19</v>
      </c>
      <c r="AK31" s="20"/>
    </row>
    <row r="32" customFormat="false" ht="27.95" hidden="false" customHeight="false" outlineLevel="0" collapsed="false">
      <c r="A32" s="0" t="s">
        <v>32</v>
      </c>
      <c r="B32" s="10" t="n">
        <f aca="false">$C$8</f>
        <v>209</v>
      </c>
      <c r="C32" s="37" t="n">
        <f aca="false">B32*0.001</f>
        <v>0.209</v>
      </c>
      <c r="D32" s="38" t="n">
        <f aca="false">F32*C32</f>
        <v>899.8091003</v>
      </c>
      <c r="F32" s="41" t="n">
        <v>4305.3067</v>
      </c>
      <c r="I32" s="11" t="s">
        <v>73</v>
      </c>
      <c r="Q32" s="42" t="str">
        <f aca="false">AL47</f>
        <v>Invercargill, Aluminium smelter-Stainless Design, Hamilton</v>
      </c>
      <c r="R32" s="27" t="n">
        <v>1500</v>
      </c>
      <c r="S32" s="13" t="n">
        <f aca="false">R32*(1-$R$2)</f>
        <v>1350</v>
      </c>
      <c r="T32" s="13" t="n">
        <f aca="false">R32*(1+$R$2)</f>
        <v>1650</v>
      </c>
      <c r="U32" s="15" t="n">
        <v>0.00280176</v>
      </c>
      <c r="V32" s="15" t="n">
        <v>0.0033115</v>
      </c>
      <c r="W32" s="43" t="n">
        <f aca="false">(U32-$U$2)/$U$2 *100</f>
        <v>-7.95462385303017</v>
      </c>
      <c r="X32" s="43" t="n">
        <f aca="false">(V32-$U$2)/$U$2 *100</f>
        <v>8.79171060715072</v>
      </c>
      <c r="Y32" s="0" t="n">
        <v>1</v>
      </c>
      <c r="Z32" s="0" t="n">
        <v>1</v>
      </c>
      <c r="AA32" s="0" t="n">
        <v>1</v>
      </c>
      <c r="AB32" s="0" t="n">
        <v>1</v>
      </c>
      <c r="AC32" s="0" t="n">
        <v>1</v>
      </c>
      <c r="AD32" s="0" t="n">
        <v>1</v>
      </c>
      <c r="AF32" s="20" t="str">
        <f aca="false">Q32</f>
        <v>Invercargill, Aluminium smelter-Stainless Design, Hamilton</v>
      </c>
      <c r="AG32" s="17" t="str">
        <f aca="false">_xlfn.CONCAT(Y32,",",Z32,",",AA32,",",AB32,",",AC32)</f>
        <v>1,1,1,1,1</v>
      </c>
      <c r="AH32" s="17" t="n">
        <f aca="false">AD32</f>
        <v>1</v>
      </c>
      <c r="AI32" s="19" t="n">
        <f aca="false">MAX(ABS(W32), X32)</f>
        <v>8.79171060715072</v>
      </c>
      <c r="AJ32" s="29" t="n">
        <f aca="false">AH32*AI32</f>
        <v>8.79171060715072</v>
      </c>
      <c r="AK32" s="20" t="s">
        <v>82</v>
      </c>
    </row>
    <row r="33" customFormat="false" ht="23.85" hidden="false" customHeight="false" outlineLevel="0" collapsed="false">
      <c r="A33" s="44" t="s">
        <v>83</v>
      </c>
      <c r="B33" s="45" t="n">
        <f aca="false">SUM(B25:B32)</f>
        <v>1270.82612984293</v>
      </c>
      <c r="C33" s="45" t="n">
        <f aca="false">SUM(C25:C32)</f>
        <v>1.27082612984293</v>
      </c>
      <c r="D33" s="45" t="n">
        <f aca="false">SUM(D25:D32)</f>
        <v>4532.17986046638</v>
      </c>
      <c r="Q33" s="42" t="str">
        <f aca="false">AL48</f>
        <v>Stainless Designs Hamilton-Robotics Plus, Tauranga</v>
      </c>
      <c r="R33" s="27" t="n">
        <v>107</v>
      </c>
      <c r="S33" s="13" t="n">
        <f aca="false">R33*(1-$R$2)</f>
        <v>96.3</v>
      </c>
      <c r="T33" s="13" t="n">
        <f aca="false">R33*(1+$R$2)</f>
        <v>117.7</v>
      </c>
      <c r="U33" s="15" t="n">
        <v>0.00304389</v>
      </c>
      <c r="V33" s="15" t="n">
        <v>0.00304389</v>
      </c>
      <c r="W33" s="46" t="n">
        <f aca="false">(U33-$U$2)/$U$2 *100</f>
        <v>0</v>
      </c>
      <c r="X33" s="46" t="n">
        <f aca="false">(V33-$U$2)/$U$2 *100</f>
        <v>0</v>
      </c>
      <c r="Y33" s="0" t="n">
        <v>1</v>
      </c>
      <c r="Z33" s="0" t="n">
        <v>1</v>
      </c>
      <c r="AA33" s="0" t="n">
        <v>1</v>
      </c>
      <c r="AB33" s="0" t="n">
        <v>1</v>
      </c>
      <c r="AC33" s="0" t="n">
        <v>1</v>
      </c>
      <c r="AD33" s="0" t="n">
        <v>1</v>
      </c>
      <c r="AF33" s="20" t="str">
        <f aca="false">Q33</f>
        <v>Stainless Designs Hamilton-Robotics Plus, Tauranga</v>
      </c>
      <c r="AG33" s="17" t="str">
        <f aca="false">_xlfn.CONCAT(Y33,",",Z33,",",AA33,",",AB33,",",AC33)</f>
        <v>1,1,1,1,1</v>
      </c>
      <c r="AH33" s="17" t="n">
        <f aca="false">AD33</f>
        <v>1</v>
      </c>
      <c r="AI33" s="19" t="n">
        <f aca="false">MAX(ABS(W33), X33)</f>
        <v>0</v>
      </c>
      <c r="AJ33" s="30" t="n">
        <f aca="false">AH33*AI33</f>
        <v>0</v>
      </c>
      <c r="AK33" s="20" t="s">
        <v>82</v>
      </c>
    </row>
    <row r="34" customFormat="false" ht="23.85" hidden="false" customHeight="false" outlineLevel="0" collapsed="false">
      <c r="Q34" s="42" t="str">
        <f aca="false">AL49</f>
        <v>Supercheap Auto, Tauranga-Robotics Plus, Tauranga</v>
      </c>
      <c r="R34" s="27" t="n">
        <v>11</v>
      </c>
      <c r="S34" s="13" t="n">
        <f aca="false">R34*(1-$R$2)</f>
        <v>9.9</v>
      </c>
      <c r="T34" s="13" t="n">
        <f aca="false">R34*(1+$R$2)</f>
        <v>12.1</v>
      </c>
      <c r="U34" s="15" t="n">
        <v>0.00304389</v>
      </c>
      <c r="V34" s="15" t="n">
        <v>0.00304389</v>
      </c>
      <c r="W34" s="46" t="n">
        <f aca="false">(U34-$U$2)/$U$2 *100</f>
        <v>0</v>
      </c>
      <c r="X34" s="46" t="n">
        <f aca="false">(V34-$U$2)/$U$2 *100</f>
        <v>0</v>
      </c>
      <c r="Y34" s="0" t="n">
        <v>1</v>
      </c>
      <c r="Z34" s="0" t="n">
        <v>1</v>
      </c>
      <c r="AA34" s="0" t="n">
        <v>1</v>
      </c>
      <c r="AB34" s="0" t="n">
        <v>1</v>
      </c>
      <c r="AC34" s="0" t="n">
        <v>1</v>
      </c>
      <c r="AD34" s="0" t="n">
        <v>1</v>
      </c>
      <c r="AF34" s="20" t="str">
        <f aca="false">Q34</f>
        <v>Supercheap Auto, Tauranga-Robotics Plus, Tauranga</v>
      </c>
      <c r="AG34" s="17" t="str">
        <f aca="false">_xlfn.CONCAT(Y34,",",Z34,",",AA34,",",AB34,",",AC34)</f>
        <v>1,1,1,1,1</v>
      </c>
      <c r="AH34" s="17" t="n">
        <f aca="false">AD34</f>
        <v>1</v>
      </c>
      <c r="AI34" s="19" t="n">
        <f aca="false">MAX(ABS(W34), X34)</f>
        <v>0</v>
      </c>
      <c r="AJ34" s="30" t="n">
        <f aca="false">AH34*AI34</f>
        <v>0</v>
      </c>
      <c r="AK34" s="20" t="s">
        <v>82</v>
      </c>
    </row>
    <row r="35" customFormat="false" ht="23.85" hidden="false" customHeight="false" outlineLevel="0" collapsed="false">
      <c r="Q35" s="42" t="str">
        <f aca="false">AL50</f>
        <v>Bridgestone, Tauranga-Robotics Plus, Tauranga</v>
      </c>
      <c r="R35" s="27" t="n">
        <v>12</v>
      </c>
      <c r="S35" s="13" t="n">
        <f aca="false">R35*(1-$R$2)</f>
        <v>10.8</v>
      </c>
      <c r="T35" s="13" t="n">
        <f aca="false">R35*(1+$R$2)</f>
        <v>13.2</v>
      </c>
      <c r="U35" s="15" t="n">
        <v>0.00304389</v>
      </c>
      <c r="V35" s="15" t="n">
        <v>0.00304389</v>
      </c>
      <c r="W35" s="46" t="n">
        <f aca="false">(U35-$U$2)/$U$2 *100</f>
        <v>0</v>
      </c>
      <c r="X35" s="46" t="n">
        <f aca="false">(V35-$U$2)/$U$2 *100</f>
        <v>0</v>
      </c>
      <c r="Y35" s="0" t="n">
        <v>1</v>
      </c>
      <c r="Z35" s="0" t="n">
        <v>1</v>
      </c>
      <c r="AA35" s="0" t="n">
        <v>1</v>
      </c>
      <c r="AB35" s="0" t="n">
        <v>1</v>
      </c>
      <c r="AC35" s="0" t="n">
        <v>1</v>
      </c>
      <c r="AD35" s="0" t="n">
        <v>1</v>
      </c>
      <c r="AF35" s="20" t="str">
        <f aca="false">Q35</f>
        <v>Bridgestone, Tauranga-Robotics Plus, Tauranga</v>
      </c>
      <c r="AG35" s="17" t="str">
        <f aca="false">_xlfn.CONCAT(Y35,",",Z35,",",AA35,",",AB35,",",AC35)</f>
        <v>1,1,1,1,1</v>
      </c>
      <c r="AH35" s="17" t="n">
        <f aca="false">AD35</f>
        <v>1</v>
      </c>
      <c r="AI35" s="19" t="n">
        <f aca="false">MAX(ABS(W35), X35)</f>
        <v>0</v>
      </c>
      <c r="AJ35" s="30" t="n">
        <f aca="false">AH35*AI35</f>
        <v>0</v>
      </c>
      <c r="AK35" s="20" t="s">
        <v>82</v>
      </c>
    </row>
    <row r="36" customFormat="false" ht="23.85" hidden="false" customHeight="false" outlineLevel="0" collapsed="false">
      <c r="Q36" s="42" t="str">
        <f aca="false">AL51</f>
        <v>Resin Craft, Hamilton-Robotics Plus, Tauranga</v>
      </c>
      <c r="R36" s="27" t="n">
        <v>107</v>
      </c>
      <c r="S36" s="13" t="n">
        <f aca="false">R36*(1-$R$2)</f>
        <v>96.3</v>
      </c>
      <c r="T36" s="13" t="n">
        <f aca="false">R36*(1+$R$2)</f>
        <v>117.7</v>
      </c>
      <c r="U36" s="15" t="n">
        <v>0.00304266</v>
      </c>
      <c r="V36" s="15" t="n">
        <v>0.00304525</v>
      </c>
      <c r="W36" s="46" t="n">
        <f aca="false">(U36-$U$2)/$U$2 *100</f>
        <v>-0.040408818978349</v>
      </c>
      <c r="X36" s="46" t="n">
        <f aca="false">(V36-$U$2)/$U$2 *100</f>
        <v>0.0446796697646815</v>
      </c>
      <c r="Y36" s="0" t="n">
        <v>1</v>
      </c>
      <c r="Z36" s="0" t="n">
        <v>1</v>
      </c>
      <c r="AA36" s="0" t="n">
        <v>1</v>
      </c>
      <c r="AB36" s="0" t="n">
        <v>1</v>
      </c>
      <c r="AC36" s="0" t="n">
        <v>1</v>
      </c>
      <c r="AD36" s="0" t="n">
        <v>1</v>
      </c>
      <c r="AF36" s="20" t="str">
        <f aca="false">Q36</f>
        <v>Resin Craft, Hamilton-Robotics Plus, Tauranga</v>
      </c>
      <c r="AG36" s="17" t="str">
        <f aca="false">_xlfn.CONCAT(Y36,",",Z36,",",AA36,",",AB36,",",AC36)</f>
        <v>1,1,1,1,1</v>
      </c>
      <c r="AH36" s="17" t="n">
        <f aca="false">AD36</f>
        <v>1</v>
      </c>
      <c r="AI36" s="19" t="n">
        <f aca="false">MAX(ABS(W36), X36)</f>
        <v>0.0446796697646815</v>
      </c>
      <c r="AJ36" s="30" t="n">
        <f aca="false">AH36*AI36</f>
        <v>0.0446796697646815</v>
      </c>
      <c r="AK36" s="20" t="s">
        <v>82</v>
      </c>
    </row>
    <row r="37" customFormat="false" ht="23.85" hidden="false" customHeight="false" outlineLevel="0" collapsed="false">
      <c r="A37" s="0" t="s">
        <v>84</v>
      </c>
      <c r="C37" s="25" t="n">
        <v>0.031</v>
      </c>
      <c r="Q37" s="42" t="str">
        <f aca="false">AL52</f>
        <v>Thailand, Port of Bangkok-Port of Tauranga</v>
      </c>
      <c r="R37" s="27" t="n">
        <v>12306</v>
      </c>
      <c r="S37" s="13" t="n">
        <f aca="false">R37*(1-$R$2)</f>
        <v>11075.4</v>
      </c>
      <c r="T37" s="13" t="n">
        <f aca="false">R37*(1+$R$2)</f>
        <v>13536.6</v>
      </c>
      <c r="U37" s="15" t="n">
        <v>0.00303806</v>
      </c>
      <c r="V37" s="15" t="n">
        <v>0.00305033</v>
      </c>
      <c r="W37" s="46" t="n">
        <f aca="false">(U37-$U$2)/$U$2 *100</f>
        <v>-0.191531231417695</v>
      </c>
      <c r="X37" s="46" t="n">
        <f aca="false">(V37-$U$2)/$U$2 *100</f>
        <v>0.211571377415081</v>
      </c>
      <c r="Y37" s="0" t="n">
        <v>1</v>
      </c>
      <c r="Z37" s="0" t="n">
        <v>1</v>
      </c>
      <c r="AA37" s="0" t="n">
        <v>1</v>
      </c>
      <c r="AB37" s="0" t="n">
        <v>5</v>
      </c>
      <c r="AC37" s="0" t="n">
        <v>1</v>
      </c>
      <c r="AD37" s="0" t="n">
        <v>1.55</v>
      </c>
      <c r="AF37" s="20" t="str">
        <f aca="false">Q37</f>
        <v>Thailand, Port of Bangkok-Port of Tauranga</v>
      </c>
      <c r="AG37" s="17" t="str">
        <f aca="false">_xlfn.CONCAT(Y37,",",Z37,",",AA37,",",AB37,",",AC37)</f>
        <v>1,1,1,5,1</v>
      </c>
      <c r="AH37" s="17" t="n">
        <f aca="false">AD37</f>
        <v>1.55</v>
      </c>
      <c r="AI37" s="19" t="n">
        <f aca="false">MAX(ABS(W37), X37)</f>
        <v>0.211571377415081</v>
      </c>
      <c r="AJ37" s="47" t="n">
        <f aca="false">AH37*AI37</f>
        <v>0.327935634993376</v>
      </c>
      <c r="AK37" s="20" t="s">
        <v>85</v>
      </c>
    </row>
    <row r="38" customFormat="false" ht="23.85" hidden="false" customHeight="false" outlineLevel="0" collapsed="false">
      <c r="Q38" s="42" t="str">
        <f aca="false">AL53</f>
        <v>Port of Shanghai-Port of Tauranga</v>
      </c>
      <c r="R38" s="27" t="n">
        <v>11758</v>
      </c>
      <c r="S38" s="13" t="n">
        <f aca="false">R38*(1-$R$2)</f>
        <v>10582.2</v>
      </c>
      <c r="T38" s="13" t="n">
        <f aca="false">R38*(1+$R$2)</f>
        <v>12933.8</v>
      </c>
      <c r="U38" s="15" t="n">
        <v>0.00286048</v>
      </c>
      <c r="V38" s="15" t="n">
        <v>0.00324661</v>
      </c>
      <c r="W38" s="43" t="n">
        <f aca="false">(U38-$U$2)/$U$2 *100</f>
        <v>-6.02551340554357</v>
      </c>
      <c r="X38" s="43" t="n">
        <f aca="false">(V38-$U$2)/$U$2 *100</f>
        <v>6.65989901080525</v>
      </c>
      <c r="Y38" s="0" t="n">
        <v>1</v>
      </c>
      <c r="Z38" s="0" t="n">
        <v>1</v>
      </c>
      <c r="AA38" s="0" t="n">
        <v>1</v>
      </c>
      <c r="AB38" s="0" t="n">
        <v>5</v>
      </c>
      <c r="AC38" s="0" t="n">
        <v>1</v>
      </c>
      <c r="AD38" s="0" t="n">
        <v>1.55</v>
      </c>
      <c r="AF38" s="20" t="str">
        <f aca="false">Q38</f>
        <v>Port of Shanghai-Port of Tauranga</v>
      </c>
      <c r="AG38" s="17" t="str">
        <f aca="false">_xlfn.CONCAT(Y38,",",Z38,",",AA38,",",AB38,",",AC38)</f>
        <v>1,1,1,5,1</v>
      </c>
      <c r="AH38" s="17" t="n">
        <f aca="false">AD38</f>
        <v>1.55</v>
      </c>
      <c r="AI38" s="19" t="n">
        <f aca="false">MAX(ABS(W38), X38)</f>
        <v>6.65989901080525</v>
      </c>
      <c r="AJ38" s="29" t="n">
        <f aca="false">AH38*AI38</f>
        <v>10.3228434667481</v>
      </c>
      <c r="AK38" s="20" t="s">
        <v>85</v>
      </c>
    </row>
    <row r="39" customFormat="false" ht="23.85" hidden="false" customHeight="false" outlineLevel="0" collapsed="false">
      <c r="A39" s="48" t="s">
        <v>86</v>
      </c>
      <c r="B39" s="49" t="s">
        <v>87</v>
      </c>
      <c r="C39" s="50" t="s">
        <v>88</v>
      </c>
      <c r="D39" s="49" t="s">
        <v>89</v>
      </c>
      <c r="F39" s="9" t="s">
        <v>90</v>
      </c>
      <c r="Q39" s="42" t="str">
        <f aca="false">AL54</f>
        <v>Port of Tauranga-Robotics Plus, Tauranga</v>
      </c>
      <c r="R39" s="27" t="n">
        <v>20</v>
      </c>
      <c r="S39" s="13" t="n">
        <f aca="false">R39*(1-$R$2)</f>
        <v>18</v>
      </c>
      <c r="T39" s="13" t="n">
        <f aca="false">R39*(1+$R$2)</f>
        <v>22</v>
      </c>
      <c r="U39" s="15" t="n">
        <v>0.00304388</v>
      </c>
      <c r="V39" s="15" t="n">
        <v>0.0030439</v>
      </c>
      <c r="W39" s="46" t="n">
        <f aca="false">(U39-$U$2)/$U$2 *100</f>
        <v>-0.000328526983561844</v>
      </c>
      <c r="X39" s="46" t="n">
        <f aca="false">(V39-$U$2)/$U$2 *100</f>
        <v>0.000328526983561844</v>
      </c>
      <c r="Y39" s="0" t="n">
        <v>1</v>
      </c>
      <c r="Z39" s="0" t="n">
        <v>1</v>
      </c>
      <c r="AA39" s="0" t="n">
        <v>1</v>
      </c>
      <c r="AB39" s="0" t="n">
        <v>5</v>
      </c>
      <c r="AC39" s="0" t="n">
        <v>1</v>
      </c>
      <c r="AD39" s="0" t="n">
        <v>1.55</v>
      </c>
      <c r="AF39" s="20" t="str">
        <f aca="false">Q39</f>
        <v>Port of Tauranga-Robotics Plus, Tauranga</v>
      </c>
      <c r="AG39" s="17" t="str">
        <f aca="false">_xlfn.CONCAT(Y39,",",Z39,",",AA39,",",AB39,",",AC39)</f>
        <v>1,1,1,5,1</v>
      </c>
      <c r="AH39" s="17" t="n">
        <f aca="false">AD39</f>
        <v>1.55</v>
      </c>
      <c r="AI39" s="19" t="n">
        <f aca="false">MAX(ABS(W39), X39)</f>
        <v>0.000328526983561844</v>
      </c>
      <c r="AJ39" s="30" t="n">
        <f aca="false">AH39*AI39</f>
        <v>0.000509216824520858</v>
      </c>
      <c r="AK39" s="20" t="s">
        <v>85</v>
      </c>
    </row>
    <row r="40" customFormat="false" ht="23.85" hidden="false" customHeight="false" outlineLevel="0" collapsed="false">
      <c r="A40" s="51" t="s">
        <v>91</v>
      </c>
      <c r="B40" s="25" t="n">
        <f aca="false">20/60 * 6</f>
        <v>2</v>
      </c>
      <c r="C40" s="17" t="n">
        <f aca="false">B40*3.6</f>
        <v>7.2</v>
      </c>
      <c r="D40" s="17" t="n">
        <f aca="false">C40*$C$37</f>
        <v>0.2232</v>
      </c>
      <c r="F40" s="52" t="s">
        <v>92</v>
      </c>
      <c r="Q40" s="42" t="str">
        <f aca="false">AL55</f>
        <v>Port of Hamburg -Port of Tauranga</v>
      </c>
      <c r="R40" s="27" t="n">
        <v>27841</v>
      </c>
      <c r="S40" s="13" t="n">
        <f aca="false">R40*(1-$R$2)</f>
        <v>25056.9</v>
      </c>
      <c r="T40" s="13" t="n">
        <f aca="false">R40*(1+$R$2)</f>
        <v>30625.1</v>
      </c>
      <c r="U40" s="15" t="n">
        <v>0.00290565</v>
      </c>
      <c r="V40" s="15" t="n">
        <v>0.00319668</v>
      </c>
      <c r="W40" s="53" t="n">
        <f aca="false">(U40-$U$2)/$U$2 *100</f>
        <v>-4.5415570207859</v>
      </c>
      <c r="X40" s="53" t="n">
        <f aca="false">(V40-$U$2)/$U$2 *100</f>
        <v>5.01956378187122</v>
      </c>
      <c r="Y40" s="0" t="n">
        <v>1</v>
      </c>
      <c r="Z40" s="0" t="n">
        <v>1</v>
      </c>
      <c r="AA40" s="0" t="n">
        <v>1</v>
      </c>
      <c r="AB40" s="0" t="n">
        <v>5</v>
      </c>
      <c r="AC40" s="0" t="n">
        <v>1</v>
      </c>
      <c r="AD40" s="0" t="n">
        <v>1.55</v>
      </c>
      <c r="AF40" s="20" t="str">
        <f aca="false">Q40</f>
        <v>Port of Hamburg -Port of Tauranga</v>
      </c>
      <c r="AG40" s="17" t="str">
        <f aca="false">_xlfn.CONCAT(Y40,",",Z40,",",AA40,",",AB40,",",AC40)</f>
        <v>1,1,1,5,1</v>
      </c>
      <c r="AH40" s="17" t="n">
        <f aca="false">AD40</f>
        <v>1.55</v>
      </c>
      <c r="AI40" s="19" t="n">
        <f aca="false">MAX(ABS(W40), X40)</f>
        <v>5.01956378187122</v>
      </c>
      <c r="AJ40" s="29" t="n">
        <f aca="false">AH40*AI40</f>
        <v>7.78032386190039</v>
      </c>
      <c r="AK40" s="20" t="s">
        <v>85</v>
      </c>
    </row>
    <row r="41" customFormat="false" ht="23.85" hidden="false" customHeight="false" outlineLevel="0" collapsed="false">
      <c r="A41" s="51" t="s">
        <v>93</v>
      </c>
      <c r="B41" s="25" t="n">
        <f aca="false">9*(8*2)</f>
        <v>144</v>
      </c>
      <c r="C41" s="17" t="n">
        <f aca="false">B41*3.6</f>
        <v>518.4</v>
      </c>
      <c r="D41" s="54" t="n">
        <f aca="false">C41*$C$37</f>
        <v>16.0704</v>
      </c>
      <c r="F41" s="52" t="s">
        <v>94</v>
      </c>
      <c r="Q41" s="42" t="str">
        <f aca="false">AL56</f>
        <v>Prague, Czech Republic-Port of Hamburg</v>
      </c>
      <c r="R41" s="27" t="n">
        <v>550</v>
      </c>
      <c r="S41" s="13" t="n">
        <f aca="false">R41*(1-$R$2)</f>
        <v>495</v>
      </c>
      <c r="T41" s="13" t="n">
        <f aca="false">R41*(1+$R$2)</f>
        <v>605</v>
      </c>
      <c r="U41" s="15" t="n">
        <v>0.00304376</v>
      </c>
      <c r="V41" s="15" t="n">
        <v>0.00304403</v>
      </c>
      <c r="W41" s="46" t="n">
        <f aca="false">(U41-$U$2)/$U$2 *100</f>
        <v>-0.00427085078633247</v>
      </c>
      <c r="X41" s="46" t="n">
        <f aca="false">(V41-$U$2)/$U$2 *100</f>
        <v>0.00459937776989431</v>
      </c>
      <c r="Y41" s="0" t="n">
        <v>1</v>
      </c>
      <c r="Z41" s="0" t="n">
        <v>1</v>
      </c>
      <c r="AA41" s="0" t="n">
        <v>1</v>
      </c>
      <c r="AB41" s="0" t="n">
        <v>5</v>
      </c>
      <c r="AC41" s="0" t="n">
        <v>1</v>
      </c>
      <c r="AD41" s="0" t="n">
        <v>1.55</v>
      </c>
      <c r="AF41" s="20" t="str">
        <f aca="false">Q41</f>
        <v>Prague, Czech Republic-Port of Hamburg</v>
      </c>
      <c r="AG41" s="17" t="str">
        <f aca="false">_xlfn.CONCAT(Y41,",",Z41,",",AA41,",",AB41,",",AC41)</f>
        <v>1,1,1,5,1</v>
      </c>
      <c r="AH41" s="17" t="n">
        <f aca="false">AD41</f>
        <v>1.55</v>
      </c>
      <c r="AI41" s="19" t="n">
        <f aca="false">MAX(ABS(W41), X41)</f>
        <v>0.00459937776989431</v>
      </c>
      <c r="AJ41" s="30" t="n">
        <f aca="false">AH41*AI41</f>
        <v>0.00712903554333618</v>
      </c>
      <c r="AK41" s="20" t="s">
        <v>85</v>
      </c>
    </row>
    <row r="42" customFormat="false" ht="12.8" hidden="false" customHeight="false" outlineLevel="0" collapsed="false">
      <c r="A42" s="51" t="s">
        <v>95</v>
      </c>
      <c r="B42" s="25" t="n">
        <f aca="false">0.5*180.5*2</f>
        <v>180.5</v>
      </c>
      <c r="C42" s="17" t="n">
        <f aca="false">B42*3.6</f>
        <v>649.8</v>
      </c>
      <c r="D42" s="54" t="n">
        <f aca="false">C42*$C$37</f>
        <v>20.1438</v>
      </c>
      <c r="F42" s="52" t="s">
        <v>96</v>
      </c>
    </row>
    <row r="43" customFormat="false" ht="12.8" hidden="false" customHeight="false" outlineLevel="0" collapsed="false">
      <c r="A43" s="51" t="s">
        <v>97</v>
      </c>
      <c r="B43" s="55" t="n">
        <f aca="false">0.15*(20/7)</f>
        <v>0.428571428571429</v>
      </c>
      <c r="C43" s="17" t="n">
        <f aca="false">B43*3.6</f>
        <v>1.54285714285714</v>
      </c>
      <c r="D43" s="17" t="n">
        <f aca="false">C43*$C$37</f>
        <v>0.0478285714285714</v>
      </c>
      <c r="F43" s="52" t="s">
        <v>98</v>
      </c>
    </row>
    <row r="44" customFormat="false" ht="13.8" hidden="false" customHeight="false" outlineLevel="0" collapsed="false">
      <c r="B44" s="56"/>
      <c r="C44" s="57" t="s">
        <v>83</v>
      </c>
      <c r="D44" s="58" t="n">
        <f aca="false">SUM(D40:D42)</f>
        <v>36.4374</v>
      </c>
    </row>
    <row r="45" customFormat="false" ht="13.8" hidden="false" customHeight="false" outlineLevel="0" collapsed="false">
      <c r="B45" s="56"/>
      <c r="C45" s="57"/>
      <c r="D45" s="58"/>
    </row>
    <row r="46" customFormat="false" ht="12.75" hidden="false" customHeight="false" outlineLevel="0" collapsed="false">
      <c r="A46" s="5" t="s">
        <v>99</v>
      </c>
      <c r="F46" s="59"/>
      <c r="AL46" s="5" t="s">
        <v>100</v>
      </c>
      <c r="AM46" s="5" t="s">
        <v>101</v>
      </c>
    </row>
    <row r="47" customFormat="false" ht="23.7" hidden="false" customHeight="false" outlineLevel="0" collapsed="false">
      <c r="A47" s="60" t="s">
        <v>20</v>
      </c>
      <c r="B47" s="60" t="s">
        <v>102</v>
      </c>
      <c r="C47" s="60" t="s">
        <v>103</v>
      </c>
      <c r="D47" s="60" t="s">
        <v>104</v>
      </c>
      <c r="E47" s="61" t="s">
        <v>105</v>
      </c>
      <c r="F47" s="61" t="s">
        <v>65</v>
      </c>
      <c r="G47" s="61" t="s">
        <v>106</v>
      </c>
      <c r="H47" s="60" t="s">
        <v>107</v>
      </c>
      <c r="I47" s="61" t="s">
        <v>108</v>
      </c>
      <c r="AL47" s="62" t="str">
        <f aca="false">_xlfn.CONCAT(B48,"-",C48)</f>
        <v>Invercargill, Aluminium smelter-Stainless Design, Hamilton</v>
      </c>
      <c r="AM47" s="63" t="n">
        <f aca="false">1500</f>
        <v>1500</v>
      </c>
    </row>
    <row r="48" customFormat="false" ht="27.95" hidden="false" customHeight="false" outlineLevel="0" collapsed="false">
      <c r="A48" s="42" t="s">
        <v>23</v>
      </c>
      <c r="B48" s="42" t="s">
        <v>109</v>
      </c>
      <c r="C48" s="42" t="s">
        <v>110</v>
      </c>
      <c r="D48" s="63" t="n">
        <f aca="false">AM47</f>
        <v>1500</v>
      </c>
      <c r="E48" s="63" t="s">
        <v>111</v>
      </c>
      <c r="F48" s="64" t="n">
        <f aca="false">$C$25</f>
        <v>0.703059137172775</v>
      </c>
      <c r="G48" s="65" t="n">
        <f aca="false">F48*D48*$G$71</f>
        <v>142369.475277487</v>
      </c>
      <c r="H48" s="66" t="n">
        <f aca="false">(D48*G48)/1000</f>
        <v>213554.21291623</v>
      </c>
      <c r="I48" s="67" t="n">
        <f aca="false">F48*H48</f>
        <v>150141.240672496</v>
      </c>
      <c r="K48" s="0" t="s">
        <v>112</v>
      </c>
      <c r="AL48" s="62" t="str">
        <f aca="false">_xlfn.CONCAT(B49,"-",C49)</f>
        <v>Stainless Designs Hamilton-Robotics Plus, Tauranga</v>
      </c>
      <c r="AM48" s="68" t="n">
        <f aca="false">107</f>
        <v>107</v>
      </c>
    </row>
    <row r="49" customFormat="false" ht="14.15" hidden="false" customHeight="false" outlineLevel="0" collapsed="false">
      <c r="A49" s="41" t="s">
        <v>23</v>
      </c>
      <c r="B49" s="41" t="s">
        <v>113</v>
      </c>
      <c r="C49" s="41" t="s">
        <v>114</v>
      </c>
      <c r="D49" s="68" t="n">
        <f aca="false">AM51</f>
        <v>107</v>
      </c>
      <c r="E49" s="68" t="s">
        <v>111</v>
      </c>
      <c r="F49" s="64" t="n">
        <f aca="false">$C$25</f>
        <v>0.703059137172775</v>
      </c>
      <c r="G49" s="65" t="n">
        <f aca="false">F49*D49*$G$71</f>
        <v>10155.6892364607</v>
      </c>
      <c r="H49" s="66" t="n">
        <f aca="false">(D49*G49)/1000</f>
        <v>1086.6587483013</v>
      </c>
      <c r="I49" s="67" t="n">
        <f aca="false">F49*H49</f>
        <v>763.985361981959</v>
      </c>
      <c r="AL49" s="62" t="str">
        <f aca="false">_xlfn.CONCAT(B50,"-",C50)</f>
        <v>Supercheap Auto, Tauranga-Robotics Plus, Tauranga</v>
      </c>
      <c r="AM49" s="68" t="n">
        <f aca="false">11</f>
        <v>11</v>
      </c>
    </row>
    <row r="50" customFormat="false" ht="14.15" hidden="false" customHeight="false" outlineLevel="0" collapsed="false">
      <c r="A50" s="41" t="s">
        <v>6</v>
      </c>
      <c r="B50" s="41" t="s">
        <v>115</v>
      </c>
      <c r="C50" s="41" t="s">
        <v>114</v>
      </c>
      <c r="D50" s="68" t="n">
        <f aca="false">AM49</f>
        <v>11</v>
      </c>
      <c r="E50" s="68" t="s">
        <v>111</v>
      </c>
      <c r="F50" s="64" t="n">
        <f aca="false">$C$26</f>
        <v>0.00818</v>
      </c>
      <c r="G50" s="65" t="n">
        <f aca="false">F50*D50*$G$71</f>
        <v>12.1473</v>
      </c>
      <c r="H50" s="66" t="n">
        <f aca="false">(D50*G50)/1000</f>
        <v>0.1336203</v>
      </c>
      <c r="I50" s="67" t="n">
        <f aca="false">F50*H50</f>
        <v>0.001093014054</v>
      </c>
      <c r="K50" s="0" t="s">
        <v>116</v>
      </c>
      <c r="AL50" s="62" t="str">
        <f aca="false">_xlfn.CONCAT(B51,"-",C51)</f>
        <v>Bridgestone, Tauranga-Robotics Plus, Tauranga</v>
      </c>
      <c r="AM50" s="68" t="n">
        <f aca="false">12</f>
        <v>12</v>
      </c>
    </row>
    <row r="51" customFormat="false" ht="14.15" hidden="false" customHeight="false" outlineLevel="0" collapsed="false">
      <c r="A51" s="41" t="s">
        <v>75</v>
      </c>
      <c r="B51" s="41" t="s">
        <v>117</v>
      </c>
      <c r="C51" s="41" t="s">
        <v>114</v>
      </c>
      <c r="D51" s="68" t="n">
        <f aca="false">AM50</f>
        <v>12</v>
      </c>
      <c r="E51" s="68" t="s">
        <v>111</v>
      </c>
      <c r="F51" s="67" t="n">
        <f aca="false">$C$28</f>
        <v>0.052</v>
      </c>
      <c r="G51" s="65" t="n">
        <f aca="false">F51*D51*$G$71</f>
        <v>84.24</v>
      </c>
      <c r="H51" s="66" t="n">
        <f aca="false">(D51*G51)/1000</f>
        <v>1.01088</v>
      </c>
      <c r="I51" s="67" t="n">
        <f aca="false">F51*H51</f>
        <v>0.05256576</v>
      </c>
      <c r="K51" s="0" t="s">
        <v>118</v>
      </c>
      <c r="AL51" s="62" t="str">
        <f aca="false">_xlfn.CONCAT(B52,"-",C52)</f>
        <v>Resin Craft, Hamilton-Robotics Plus, Tauranga</v>
      </c>
      <c r="AM51" s="68" t="n">
        <f aca="false">107</f>
        <v>107</v>
      </c>
    </row>
    <row r="52" customFormat="false" ht="14.15" hidden="false" customHeight="false" outlineLevel="0" collapsed="false">
      <c r="A52" s="41" t="s">
        <v>49</v>
      </c>
      <c r="B52" s="41" t="s">
        <v>119</v>
      </c>
      <c r="C52" s="41" t="s">
        <v>114</v>
      </c>
      <c r="D52" s="68" t="n">
        <f aca="false">AM51</f>
        <v>107</v>
      </c>
      <c r="E52" s="68" t="s">
        <v>111</v>
      </c>
      <c r="F52" s="69" t="n">
        <f aca="false">$C$30</f>
        <v>0.0002736</v>
      </c>
      <c r="G52" s="65" t="n">
        <f aca="false">F52*D52*$G$71</f>
        <v>3.952152</v>
      </c>
      <c r="H52" s="66" t="n">
        <f aca="false">(D52*G52)/1000</f>
        <v>0.422880264</v>
      </c>
      <c r="I52" s="70" t="n">
        <f aca="false">F52*H52</f>
        <v>0.0001157000402304</v>
      </c>
      <c r="K52" s="0" t="s">
        <v>120</v>
      </c>
      <c r="AL52" s="62" t="str">
        <f aca="false">_xlfn.CONCAT(B54,"-",C54)</f>
        <v>Thailand, Port of Bangkok-Port of Tauranga</v>
      </c>
      <c r="AM52" s="68" t="n">
        <f aca="false">12306</f>
        <v>12306</v>
      </c>
    </row>
    <row r="53" customFormat="false" ht="14.15" hidden="false" customHeight="false" outlineLevel="0" collapsed="false">
      <c r="A53" s="41" t="s">
        <v>121</v>
      </c>
      <c r="B53" s="41" t="s">
        <v>122</v>
      </c>
      <c r="C53" s="41" t="s">
        <v>114</v>
      </c>
      <c r="D53" s="68" t="n">
        <f aca="false">AM54</f>
        <v>20</v>
      </c>
      <c r="E53" s="68" t="s">
        <v>111</v>
      </c>
      <c r="F53" s="67" t="n">
        <f aca="false">C29</f>
        <v>0.0446</v>
      </c>
      <c r="G53" s="65" t="n">
        <f aca="false">F53*D53*$G$71</f>
        <v>120.42</v>
      </c>
      <c r="H53" s="66" t="n">
        <f aca="false">(D53*G53)/1000</f>
        <v>2.4084</v>
      </c>
      <c r="I53" s="67" t="n">
        <f aca="false">F53*H53</f>
        <v>0.10741464</v>
      </c>
      <c r="K53" s="0" t="s">
        <v>123</v>
      </c>
      <c r="AL53" s="62" t="str">
        <f aca="false">_xlfn.CONCAT(B58,"-",C58)</f>
        <v>Port of Shanghai-Port of Tauranga</v>
      </c>
      <c r="AM53" s="68" t="n">
        <f aca="false">11758</f>
        <v>11758</v>
      </c>
    </row>
    <row r="54" customFormat="false" ht="14.15" hidden="false" customHeight="false" outlineLevel="0" collapsed="false">
      <c r="A54" s="41" t="s">
        <v>121</v>
      </c>
      <c r="B54" s="41" t="s">
        <v>124</v>
      </c>
      <c r="C54" s="41" t="s">
        <v>122</v>
      </c>
      <c r="D54" s="68" t="n">
        <f aca="false">AM52</f>
        <v>12306</v>
      </c>
      <c r="E54" s="68" t="s">
        <v>125</v>
      </c>
      <c r="F54" s="67" t="n">
        <f aca="false">C29</f>
        <v>0.0446</v>
      </c>
      <c r="G54" s="65" t="n">
        <f aca="false">F54*D54*$G$70</f>
        <v>6586.1712</v>
      </c>
      <c r="H54" s="66" t="n">
        <f aca="false">(D54*G54)/1000</f>
        <v>81049.4227872</v>
      </c>
      <c r="I54" s="67" t="n">
        <f aca="false">F54*H54</f>
        <v>3614.80425630912</v>
      </c>
      <c r="AL54" s="62" t="str">
        <f aca="false">_xlfn.CONCAT(B59,"-",C59)</f>
        <v>Port of Tauranga-Robotics Plus, Tauranga</v>
      </c>
      <c r="AM54" s="68" t="n">
        <f aca="false">20</f>
        <v>20</v>
      </c>
    </row>
    <row r="55" customFormat="false" ht="14.15" hidden="false" customHeight="false" outlineLevel="0" collapsed="false">
      <c r="A55" s="41" t="s">
        <v>29</v>
      </c>
      <c r="B55" s="41" t="s">
        <v>122</v>
      </c>
      <c r="C55" s="41" t="s">
        <v>114</v>
      </c>
      <c r="D55" s="68" t="n">
        <f aca="false">AM54</f>
        <v>20</v>
      </c>
      <c r="E55" s="68" t="s">
        <v>111</v>
      </c>
      <c r="F55" s="67" t="n">
        <f aca="false">C27</f>
        <v>0.157713392670157</v>
      </c>
      <c r="G55" s="65" t="n">
        <f aca="false">F55*D55*$G$71</f>
        <v>425.826160209424</v>
      </c>
      <c r="H55" s="66" t="n">
        <f aca="false">(D55*G55)/1000</f>
        <v>8.51652320418848</v>
      </c>
      <c r="I55" s="67" t="n">
        <f aca="false">F55*H55</f>
        <v>1.34316976828668</v>
      </c>
      <c r="K55" s="0" t="s">
        <v>126</v>
      </c>
      <c r="AL55" s="62" t="str">
        <f aca="false">_xlfn.CONCAT(B60,"-",C60)</f>
        <v>Port of Hamburg -Port of Tauranga</v>
      </c>
      <c r="AM55" s="68" t="n">
        <f aca="false">27841</f>
        <v>27841</v>
      </c>
    </row>
    <row r="56" customFormat="false" ht="14.15" hidden="false" customHeight="false" outlineLevel="0" collapsed="false">
      <c r="A56" s="41" t="s">
        <v>29</v>
      </c>
      <c r="B56" s="41" t="s">
        <v>127</v>
      </c>
      <c r="C56" s="41" t="s">
        <v>122</v>
      </c>
      <c r="D56" s="68" t="n">
        <f aca="false">AM53</f>
        <v>11758</v>
      </c>
      <c r="E56" s="68" t="s">
        <v>125</v>
      </c>
      <c r="F56" s="67" t="n">
        <f aca="false">C27</f>
        <v>0.157713392670157</v>
      </c>
      <c r="G56" s="65" t="n">
        <f aca="false">F56*D56*$G$70</f>
        <v>22252.7288521885</v>
      </c>
      <c r="H56" s="66" t="n">
        <f aca="false">(D56*G56)/1000</f>
        <v>261647.585844032</v>
      </c>
      <c r="I56" s="67" t="n">
        <f aca="false">F56*H56</f>
        <v>41265.3284474185</v>
      </c>
      <c r="AL56" s="62" t="str">
        <f aca="false">_xlfn.CONCAT(B61,"-",C61)</f>
        <v>Prague, Czech Republic-Port of Hamburg</v>
      </c>
      <c r="AM56" s="68" t="n">
        <f aca="false">550</f>
        <v>550</v>
      </c>
    </row>
    <row r="57" customFormat="false" ht="14.15" hidden="false" customHeight="false" outlineLevel="0" collapsed="false">
      <c r="A57" s="41" t="s">
        <v>32</v>
      </c>
      <c r="B57" s="41" t="s">
        <v>122</v>
      </c>
      <c r="C57" s="41" t="s">
        <v>114</v>
      </c>
      <c r="D57" s="68" t="n">
        <f aca="false">AM54</f>
        <v>20</v>
      </c>
      <c r="E57" s="68" t="s">
        <v>111</v>
      </c>
      <c r="F57" s="67" t="n">
        <f aca="false">C32</f>
        <v>0.209</v>
      </c>
      <c r="G57" s="65" t="n">
        <f aca="false">F57*D57*$G$71</f>
        <v>564.3</v>
      </c>
      <c r="H57" s="66" t="n">
        <f aca="false">(D57*G57)/1000</f>
        <v>11.286</v>
      </c>
      <c r="I57" s="67" t="n">
        <f aca="false">F57*H57</f>
        <v>2.358774</v>
      </c>
    </row>
    <row r="58" customFormat="false" ht="14.15" hidden="false" customHeight="false" outlineLevel="0" collapsed="false">
      <c r="A58" s="41" t="s">
        <v>32</v>
      </c>
      <c r="B58" s="41" t="s">
        <v>127</v>
      </c>
      <c r="C58" s="41" t="s">
        <v>122</v>
      </c>
      <c r="D58" s="68" t="n">
        <f aca="false">AM53</f>
        <v>11758</v>
      </c>
      <c r="E58" s="68" t="s">
        <v>125</v>
      </c>
      <c r="F58" s="67" t="n">
        <f aca="false">C32</f>
        <v>0.209</v>
      </c>
      <c r="G58" s="65" t="n">
        <f aca="false">F58*D58*$G$70</f>
        <v>29489.064</v>
      </c>
      <c r="H58" s="66" t="n">
        <f aca="false">(D58*G58)/1000</f>
        <v>346732.414512</v>
      </c>
      <c r="I58" s="67" t="n">
        <f aca="false">F58*H58</f>
        <v>72467.074633008</v>
      </c>
      <c r="K58" s="0" t="s">
        <v>128</v>
      </c>
      <c r="Q58" s="42"/>
      <c r="R58" s="41"/>
    </row>
    <row r="59" customFormat="false" ht="14.15" hidden="false" customHeight="false" outlineLevel="0" collapsed="false">
      <c r="A59" s="41" t="s">
        <v>37</v>
      </c>
      <c r="B59" s="41" t="s">
        <v>122</v>
      </c>
      <c r="C59" s="41" t="s">
        <v>114</v>
      </c>
      <c r="D59" s="68" t="n">
        <f aca="false">AM54</f>
        <v>20</v>
      </c>
      <c r="E59" s="68" t="s">
        <v>111</v>
      </c>
      <c r="F59" s="67" t="n">
        <f aca="false">$C$31</f>
        <v>0.096</v>
      </c>
      <c r="G59" s="65" t="n">
        <f aca="false">F59*D59*$G$71</f>
        <v>259.2</v>
      </c>
      <c r="H59" s="66" t="n">
        <f aca="false">(D59*G59)/1000</f>
        <v>5.184</v>
      </c>
      <c r="I59" s="67" t="n">
        <f aca="false">F59*H59</f>
        <v>0.497664</v>
      </c>
      <c r="Q59" s="42"/>
      <c r="R59" s="41"/>
    </row>
    <row r="60" customFormat="false" ht="14.15" hidden="false" customHeight="false" outlineLevel="0" collapsed="false">
      <c r="A60" s="41" t="s">
        <v>37</v>
      </c>
      <c r="B60" s="41" t="s">
        <v>129</v>
      </c>
      <c r="C60" s="41" t="s">
        <v>122</v>
      </c>
      <c r="D60" s="68" t="n">
        <f aca="false">AM55</f>
        <v>27841</v>
      </c>
      <c r="E60" s="68" t="s">
        <v>125</v>
      </c>
      <c r="F60" s="67" t="n">
        <f aca="false">$C$31</f>
        <v>0.096</v>
      </c>
      <c r="G60" s="65" t="n">
        <f aca="false">F60*D60*$G$70</f>
        <v>32072.832</v>
      </c>
      <c r="H60" s="66" t="n">
        <f aca="false">(D60*G60)/1000</f>
        <v>892939.715712</v>
      </c>
      <c r="I60" s="67" t="n">
        <f aca="false">F60*H60</f>
        <v>85722.212708352</v>
      </c>
      <c r="Q60" s="41"/>
      <c r="R60" s="41"/>
    </row>
    <row r="61" customFormat="false" ht="14.15" hidden="false" customHeight="false" outlineLevel="0" collapsed="false">
      <c r="A61" s="41" t="s">
        <v>37</v>
      </c>
      <c r="B61" s="41" t="s">
        <v>130</v>
      </c>
      <c r="C61" s="41" t="s">
        <v>131</v>
      </c>
      <c r="D61" s="68" t="n">
        <f aca="false">AM56</f>
        <v>550</v>
      </c>
      <c r="E61" s="68" t="s">
        <v>132</v>
      </c>
      <c r="F61" s="67" t="n">
        <f aca="false">$C$31</f>
        <v>0.096</v>
      </c>
      <c r="G61" s="65" t="n">
        <f aca="false">F61*D61*$G$69</f>
        <v>1478.4</v>
      </c>
      <c r="H61" s="66" t="n">
        <f aca="false">(D61*G61)/1000</f>
        <v>813.12</v>
      </c>
      <c r="I61" s="67" t="n">
        <f aca="false">F61*H61</f>
        <v>78.05952</v>
      </c>
      <c r="K61" s="0" t="s">
        <v>133</v>
      </c>
      <c r="Q61" s="41"/>
      <c r="R61" s="41"/>
    </row>
    <row r="62" customFormat="false" ht="13.8" hidden="false" customHeight="false" outlineLevel="0" collapsed="false">
      <c r="A62" s="71"/>
      <c r="B62" s="71"/>
      <c r="C62" s="71"/>
      <c r="D62" s="71"/>
      <c r="E62" s="71"/>
      <c r="F62" s="71"/>
      <c r="G62" s="71"/>
      <c r="H62" s="72" t="s">
        <v>83</v>
      </c>
      <c r="I62" s="73" t="n">
        <f aca="false">SUM(I48:I61)</f>
        <v>354057.066396448</v>
      </c>
    </row>
    <row r="66" customFormat="false" ht="19.7" hidden="false" customHeight="false" outlineLevel="0" collapsed="false">
      <c r="A66" s="4" t="s">
        <v>134</v>
      </c>
    </row>
    <row r="67" customFormat="false" ht="12.75" hidden="false" customHeight="false" outlineLevel="0" collapsed="false">
      <c r="A67" s="74" t="s">
        <v>135</v>
      </c>
      <c r="B67" s="74" t="s">
        <v>136</v>
      </c>
      <c r="C67" s="74" t="s">
        <v>137</v>
      </c>
      <c r="D67" s="75"/>
    </row>
    <row r="68" customFormat="false" ht="23.85" hidden="false" customHeight="false" outlineLevel="0" collapsed="false">
      <c r="A68" s="76" t="s">
        <v>138</v>
      </c>
      <c r="B68" s="77" t="n">
        <f aca="false">((60*60)/5.5)*4</f>
        <v>2618.18181818182</v>
      </c>
      <c r="C68" s="75" t="s">
        <v>139</v>
      </c>
      <c r="D68" s="78"/>
      <c r="F68" s="49" t="s">
        <v>81</v>
      </c>
      <c r="G68" s="50" t="s">
        <v>140</v>
      </c>
    </row>
    <row r="69" customFormat="false" ht="12.8" hidden="false" customHeight="false" outlineLevel="0" collapsed="false">
      <c r="A69" s="76" t="s">
        <v>141</v>
      </c>
      <c r="B69" s="78" t="s">
        <v>142</v>
      </c>
      <c r="C69" s="75" t="s">
        <v>143</v>
      </c>
      <c r="D69" s="78"/>
      <c r="F69" s="0" t="s">
        <v>144</v>
      </c>
      <c r="G69" s="25" t="n">
        <v>28</v>
      </c>
    </row>
    <row r="70" customFormat="false" ht="12.8" hidden="false" customHeight="false" outlineLevel="0" collapsed="false">
      <c r="A70" s="76" t="s">
        <v>145</v>
      </c>
      <c r="B70" s="78" t="n">
        <v>400</v>
      </c>
      <c r="C70" s="75" t="s">
        <v>146</v>
      </c>
      <c r="D70" s="78"/>
      <c r="F70" s="0" t="s">
        <v>147</v>
      </c>
      <c r="G70" s="25" t="n">
        <v>12</v>
      </c>
    </row>
    <row r="71" customFormat="false" ht="12.8" hidden="false" customHeight="false" outlineLevel="0" collapsed="false">
      <c r="A71" s="76" t="s">
        <v>148</v>
      </c>
      <c r="B71" s="78" t="n">
        <v>10.1</v>
      </c>
      <c r="C71" s="75" t="s">
        <v>149</v>
      </c>
      <c r="D71" s="78"/>
      <c r="F71" s="0" t="s">
        <v>150</v>
      </c>
      <c r="G71" s="25" t="n">
        <v>135</v>
      </c>
    </row>
    <row r="72" customFormat="false" ht="12.8" hidden="false" customHeight="false" outlineLevel="0" collapsed="false">
      <c r="A72" s="76" t="s">
        <v>151</v>
      </c>
      <c r="B72" s="78" t="n">
        <v>2.59</v>
      </c>
      <c r="C72" s="75" t="s">
        <v>149</v>
      </c>
      <c r="D72" s="78"/>
    </row>
    <row r="73" customFormat="false" ht="12.8" hidden="false" customHeight="false" outlineLevel="0" collapsed="false">
      <c r="A73" s="76" t="s">
        <v>152</v>
      </c>
      <c r="B73" s="78" t="s">
        <v>153</v>
      </c>
      <c r="C73" s="75" t="s">
        <v>149</v>
      </c>
      <c r="D73" s="78"/>
    </row>
    <row r="74" customFormat="false" ht="12.8" hidden="false" customHeight="false" outlineLevel="0" collapsed="false">
      <c r="A74" s="76" t="s">
        <v>154</v>
      </c>
      <c r="B74" s="78" t="s">
        <v>155</v>
      </c>
      <c r="C74" s="75" t="s">
        <v>156</v>
      </c>
      <c r="D74" s="78"/>
    </row>
    <row r="75" customFormat="false" ht="12.8" hidden="false" customHeight="false" outlineLevel="0" collapsed="false">
      <c r="A75" s="76" t="s">
        <v>157</v>
      </c>
      <c r="B75" s="78" t="n">
        <v>24</v>
      </c>
      <c r="C75" s="75" t="s">
        <v>156</v>
      </c>
      <c r="D75" s="78"/>
    </row>
    <row r="76" customFormat="false" ht="12.8" hidden="false" customHeight="false" outlineLevel="0" collapsed="false">
      <c r="A76" s="76" t="s">
        <v>158</v>
      </c>
      <c r="B76" s="78" t="n">
        <v>8.64</v>
      </c>
      <c r="C76" s="75" t="s">
        <v>159</v>
      </c>
      <c r="D76" s="78"/>
    </row>
    <row r="77" customFormat="false" ht="12.8" hidden="false" customHeight="false" outlineLevel="0" collapsed="false">
      <c r="A77" s="76" t="s">
        <v>160</v>
      </c>
      <c r="B77" s="78" t="n">
        <v>4</v>
      </c>
      <c r="C77" s="75" t="s">
        <v>143</v>
      </c>
      <c r="D77" s="78"/>
    </row>
    <row r="78" customFormat="false" ht="12.8" hidden="false" customHeight="false" outlineLevel="0" collapsed="false">
      <c r="A78" s="76" t="s">
        <v>161</v>
      </c>
      <c r="B78" s="78" t="n">
        <v>600</v>
      </c>
      <c r="C78" s="75" t="s">
        <v>146</v>
      </c>
      <c r="D78" s="78"/>
    </row>
    <row r="79" customFormat="false" ht="12.8" hidden="false" customHeight="false" outlineLevel="0" collapsed="false">
      <c r="A79" s="76" t="s">
        <v>162</v>
      </c>
      <c r="B79" s="78" t="n">
        <v>800</v>
      </c>
      <c r="C79" s="75" t="s">
        <v>146</v>
      </c>
      <c r="D79" s="78"/>
    </row>
    <row r="80" customFormat="false" ht="12.8" hidden="false" customHeight="false" outlineLevel="0" collapsed="false">
      <c r="A80" s="76" t="s">
        <v>163</v>
      </c>
      <c r="B80" s="78" t="n">
        <v>60</v>
      </c>
      <c r="C80" s="75" t="s">
        <v>146</v>
      </c>
      <c r="D80" s="78"/>
    </row>
    <row r="81" customFormat="false" ht="12.8" hidden="false" customHeight="false" outlineLevel="0" collapsed="false">
      <c r="A81" s="76" t="s">
        <v>164</v>
      </c>
      <c r="B81" s="78" t="s">
        <v>165</v>
      </c>
      <c r="C81" s="75" t="s">
        <v>143</v>
      </c>
      <c r="D81" s="78"/>
    </row>
    <row r="82" customFormat="false" ht="12.8" hidden="false" customHeight="false" outlineLevel="0" collapsed="false">
      <c r="A82" s="76" t="s">
        <v>166</v>
      </c>
      <c r="B82" s="78" t="n">
        <v>4</v>
      </c>
      <c r="C82" s="75" t="s">
        <v>143</v>
      </c>
      <c r="D82" s="78"/>
    </row>
    <row r="83" customFormat="false" ht="12.8" hidden="false" customHeight="false" outlineLevel="0" collapsed="false">
      <c r="A83" s="76" t="s">
        <v>167</v>
      </c>
      <c r="B83" s="78" t="s">
        <v>168</v>
      </c>
      <c r="C83" s="75" t="s">
        <v>143</v>
      </c>
      <c r="D83" s="78"/>
    </row>
    <row r="84" customFormat="false" ht="12.8" hidden="false" customHeight="false" outlineLevel="0" collapsed="false">
      <c r="A84" s="79" t="s">
        <v>169</v>
      </c>
      <c r="B84" s="80" t="s">
        <v>170</v>
      </c>
      <c r="C84" s="81" t="s">
        <v>143</v>
      </c>
    </row>
    <row r="85" customFormat="false" ht="12.8" hidden="false" customHeight="false" outlineLevel="0" collapsed="false">
      <c r="A85" s="0" t="s">
        <v>171</v>
      </c>
      <c r="B85" s="0" t="n">
        <v>45000</v>
      </c>
      <c r="C85" s="0" t="s">
        <v>156</v>
      </c>
    </row>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c r="A92" s="0" t="s">
        <v>172</v>
      </c>
    </row>
    <row r="93" customFormat="false" ht="35.4" hidden="false" customHeight="false" outlineLevel="0" collapsed="false">
      <c r="A93" s="48" t="s">
        <v>173</v>
      </c>
      <c r="B93" s="61" t="s">
        <v>174</v>
      </c>
      <c r="C93" s="61" t="s">
        <v>175</v>
      </c>
      <c r="D93" s="50" t="s">
        <v>176</v>
      </c>
      <c r="R93" s="5" t="s">
        <v>177</v>
      </c>
      <c r="S93" s="0" t="s">
        <v>178</v>
      </c>
    </row>
    <row r="94" customFormat="false" ht="12.75" hidden="false" customHeight="false" outlineLevel="0" collapsed="false">
      <c r="A94" s="0" t="s">
        <v>179</v>
      </c>
      <c r="B94" s="82" t="n">
        <f aca="false">D33</f>
        <v>4532.17986046638</v>
      </c>
      <c r="C94" s="83" t="n">
        <f aca="false">B94/($B$68*$B$85)</f>
        <v>3.84675759761807E-005</v>
      </c>
      <c r="D94" s="55" t="n">
        <f aca="false">C94/$C$97</f>
        <v>0.0126376332399053</v>
      </c>
      <c r="Q94" s="5" t="s">
        <v>180</v>
      </c>
    </row>
    <row r="95" customFormat="false" ht="12.75" hidden="false" customHeight="false" outlineLevel="0" collapsed="false">
      <c r="A95" s="0" t="s">
        <v>62</v>
      </c>
      <c r="B95" s="82" t="n">
        <f aca="false">D44</f>
        <v>36.4374</v>
      </c>
      <c r="C95" s="83" t="n">
        <f aca="false">B95/($B$68*$B$85)</f>
        <v>3.09268055555556E-007</v>
      </c>
      <c r="D95" s="55" t="n">
        <f aca="false">C95/$C$97</f>
        <v>0.000101602873582413</v>
      </c>
      <c r="Q95" s="41" t="s">
        <v>181</v>
      </c>
      <c r="R95" s="10" t="n">
        <f aca="false">D32/1.1 *0.1</f>
        <v>81.8008273</v>
      </c>
      <c r="S95" s="84" t="n">
        <f aca="false">R95/$R$128</f>
        <v>0.000228095253960634</v>
      </c>
    </row>
    <row r="96" customFormat="false" ht="12.75" hidden="false" customHeight="false" outlineLevel="0" collapsed="false">
      <c r="A96" s="0" t="s">
        <v>99</v>
      </c>
      <c r="B96" s="82" t="n">
        <f aca="false">I62</f>
        <v>354057.066396448</v>
      </c>
      <c r="C96" s="83" t="n">
        <f aca="false">B96/($B$68*$B$85)</f>
        <v>0.00300511398947602</v>
      </c>
      <c r="D96" s="55" t="n">
        <f aca="false">C96/$C$97</f>
        <v>0.987260763886512</v>
      </c>
      <c r="Q96" s="41" t="s">
        <v>182</v>
      </c>
      <c r="R96" s="10" t="n">
        <f aca="false">D27/1.1 *0.1</f>
        <v>61.727684194778</v>
      </c>
      <c r="S96" s="84" t="n">
        <f aca="false">R96/$R$128</f>
        <v>0.000172122853368864</v>
      </c>
    </row>
    <row r="97" customFormat="false" ht="12.75" hidden="false" customHeight="false" outlineLevel="0" collapsed="false">
      <c r="A97" s="51" t="s">
        <v>83</v>
      </c>
      <c r="B97" s="54" t="n">
        <f aca="false">SUM(B94:B96)</f>
        <v>358625.683656914</v>
      </c>
      <c r="C97" s="3" t="n">
        <f aca="false">SUM(C94:C96)</f>
        <v>0.00304389083350776</v>
      </c>
      <c r="Q97" s="5" t="s">
        <v>83</v>
      </c>
      <c r="R97" s="85" t="n">
        <f aca="false">SUM(R95:R96)</f>
        <v>143.528511494778</v>
      </c>
      <c r="S97" s="86" t="n">
        <f aca="false">R97/$R$128</f>
        <v>0.000400218107329498</v>
      </c>
    </row>
    <row r="99" customFormat="false" ht="12.75" hidden="false" customHeight="false" outlineLevel="0" collapsed="false">
      <c r="Q99" s="5" t="s">
        <v>183</v>
      </c>
    </row>
    <row r="100" customFormat="false" ht="12.75" hidden="false" customHeight="false" outlineLevel="0" collapsed="false">
      <c r="Q100" s="87" t="s">
        <v>93</v>
      </c>
      <c r="R100" s="38" t="n">
        <f aca="false">D40</f>
        <v>0.2232</v>
      </c>
      <c r="S100" s="88" t="n">
        <f aca="false">R100/$R$128</f>
        <v>6.22375865433497E-007</v>
      </c>
    </row>
    <row r="101" customFormat="false" ht="12.75" hidden="false" customHeight="false" outlineLevel="0" collapsed="false">
      <c r="Q101" s="0" t="s">
        <v>184</v>
      </c>
      <c r="R101" s="38" t="n">
        <f aca="false">D43</f>
        <v>0.0478285714285714</v>
      </c>
      <c r="S101" s="88" t="n">
        <f aca="false">R101/$R$128</f>
        <v>1.33366256878606E-007</v>
      </c>
    </row>
    <row r="102" customFormat="false" ht="12.75" hidden="false" customHeight="false" outlineLevel="0" collapsed="false">
      <c r="Q102" s="5" t="s">
        <v>83</v>
      </c>
      <c r="R102" s="89" t="n">
        <f aca="false">SUM(R100:R101)</f>
        <v>0.271028571428571</v>
      </c>
      <c r="S102" s="90" t="n">
        <f aca="false">R102/$R$128</f>
        <v>7.55742122312103E-007</v>
      </c>
    </row>
    <row r="104" customFormat="false" ht="12.75" hidden="false" customHeight="false" outlineLevel="0" collapsed="false">
      <c r="Q104" s="5" t="s">
        <v>185</v>
      </c>
    </row>
    <row r="105" customFormat="false" ht="12.75" hidden="false" customHeight="false" outlineLevel="0" collapsed="false">
      <c r="Q105" s="0" t="s">
        <v>186</v>
      </c>
      <c r="R105" s="38" t="n">
        <f aca="false">I48+I49</f>
        <v>150905.226034478</v>
      </c>
      <c r="S105" s="82" t="n">
        <f aca="false">R105/$R$128</f>
        <v>0.420787502919559</v>
      </c>
    </row>
    <row r="106" customFormat="false" ht="12.75" hidden="false" customHeight="false" outlineLevel="0" collapsed="false">
      <c r="Q106" s="0" t="s">
        <v>187</v>
      </c>
      <c r="R106" s="38" t="n">
        <f aca="false">I50</f>
        <v>0.001093014054</v>
      </c>
      <c r="S106" s="82" t="n">
        <f aca="false">R106/$R$128</f>
        <v>3.04778480192305E-009</v>
      </c>
    </row>
    <row r="107" customFormat="false" ht="12.75" hidden="false" customHeight="false" outlineLevel="0" collapsed="false">
      <c r="Q107" s="0" t="s">
        <v>188</v>
      </c>
      <c r="R107" s="38" t="n">
        <f aca="false">I51</f>
        <v>0.05256576</v>
      </c>
      <c r="S107" s="82" t="n">
        <f aca="false">R107/$R$128</f>
        <v>1.46575539301835E-007</v>
      </c>
    </row>
    <row r="108" customFormat="false" ht="12.75" hidden="false" customHeight="false" outlineLevel="0" collapsed="false">
      <c r="Q108" s="0" t="s">
        <v>189</v>
      </c>
      <c r="R108" s="38" t="n">
        <f aca="false">I52</f>
        <v>0.0001157000402304</v>
      </c>
      <c r="S108" s="82" t="n">
        <f aca="false">R108/$R$128</f>
        <v>3.22620576474398E-010</v>
      </c>
    </row>
    <row r="109" customFormat="false" ht="12.75" hidden="false" customHeight="false" outlineLevel="0" collapsed="false">
      <c r="Q109" s="0" t="s">
        <v>190</v>
      </c>
      <c r="R109" s="38" t="n">
        <f aca="false">I53+I54</f>
        <v>3614.91167094912</v>
      </c>
      <c r="S109" s="82" t="n">
        <f aca="false">R109/$R$128</f>
        <v>0.0100799004465619</v>
      </c>
    </row>
    <row r="110" customFormat="false" ht="12.75" hidden="false" customHeight="false" outlineLevel="0" collapsed="false">
      <c r="Q110" s="0" t="s">
        <v>191</v>
      </c>
      <c r="R110" s="38" t="n">
        <f aca="false">I55+I56</f>
        <v>41266.6716171868</v>
      </c>
      <c r="S110" s="82" t="n">
        <f aca="false">R110/$R$128</f>
        <v>0.115068908876821</v>
      </c>
    </row>
    <row r="111" customFormat="false" ht="12.75" hidden="false" customHeight="false" outlineLevel="0" collapsed="false">
      <c r="Q111" s="0" t="s">
        <v>192</v>
      </c>
      <c r="R111" s="38" t="n">
        <f aca="false">I57+I58</f>
        <v>72469.433407008</v>
      </c>
      <c r="S111" s="82" t="n">
        <f aca="false">R111/$R$128</f>
        <v>0.2020753868018</v>
      </c>
    </row>
    <row r="112" customFormat="false" ht="12.75" hidden="false" customHeight="false" outlineLevel="0" collapsed="false">
      <c r="Q112" s="0" t="s">
        <v>193</v>
      </c>
      <c r="R112" s="38" t="n">
        <f aca="false">I59+I60+I61</f>
        <v>85800.769892352</v>
      </c>
      <c r="S112" s="82" t="n">
        <f aca="false">R112/$R$128</f>
        <v>0.239248783228552</v>
      </c>
    </row>
    <row r="113" customFormat="false" ht="12.75" hidden="false" customHeight="false" outlineLevel="0" collapsed="false">
      <c r="Q113" s="5" t="s">
        <v>83</v>
      </c>
      <c r="R113" s="89" t="n">
        <f aca="false">SUM(R105:R112)</f>
        <v>354057.066396448</v>
      </c>
      <c r="S113" s="91" t="n">
        <f aca="false">R113/$R$128</f>
        <v>0.98726063221924</v>
      </c>
    </row>
    <row r="114" customFormat="false" ht="12.75" hidden="false" customHeight="false" outlineLevel="0" collapsed="false">
      <c r="Q114" s="5"/>
      <c r="R114" s="38"/>
      <c r="S114" s="82"/>
    </row>
    <row r="115" customFormat="false" ht="12.75" hidden="false" customHeight="false" outlineLevel="0" collapsed="false">
      <c r="Q115" s="5" t="s">
        <v>194</v>
      </c>
      <c r="R115" s="38"/>
      <c r="S115" s="82"/>
    </row>
    <row r="116" customFormat="false" ht="12.75" hidden="false" customHeight="false" outlineLevel="0" collapsed="false">
      <c r="Q116" s="0" t="s">
        <v>23</v>
      </c>
      <c r="R116" s="38" t="n">
        <f aca="false">D25</f>
        <v>1399.08768297382</v>
      </c>
      <c r="S116" s="82" t="n">
        <f aca="false">R116/$R$128</f>
        <v>0.00390124734546675</v>
      </c>
    </row>
    <row r="117" customFormat="false" ht="12.75" hidden="false" customHeight="false" outlineLevel="0" collapsed="false">
      <c r="Q117" s="0" t="s">
        <v>6</v>
      </c>
      <c r="R117" s="38" t="n">
        <f aca="false">D26</f>
        <v>26.06445343</v>
      </c>
      <c r="S117" s="82" t="n">
        <f aca="false">R117/$R$128</f>
        <v>7.2678704124316E-005</v>
      </c>
    </row>
    <row r="118" customFormat="false" ht="12.75" hidden="false" customHeight="false" outlineLevel="0" collapsed="false">
      <c r="Q118" s="0" t="s">
        <v>29</v>
      </c>
      <c r="R118" s="38" t="n">
        <f aca="false">D27/1.1</f>
        <v>617.27684194778</v>
      </c>
      <c r="S118" s="82" t="n">
        <f aca="false">R118/$R$128</f>
        <v>0.00172122853368864</v>
      </c>
    </row>
    <row r="119" customFormat="false" ht="12.75" hidden="false" customHeight="false" outlineLevel="0" collapsed="false">
      <c r="Q119" s="0" t="s">
        <v>75</v>
      </c>
      <c r="R119" s="38" t="n">
        <f aca="false">D28</f>
        <v>173.4497388</v>
      </c>
      <c r="S119" s="82" t="n">
        <f aca="false">R119/$R$128</f>
        <v>0.000483651125873046</v>
      </c>
    </row>
    <row r="120" customFormat="false" ht="12.75" hidden="false" customHeight="false" outlineLevel="0" collapsed="false">
      <c r="Q120" s="0" t="s">
        <v>77</v>
      </c>
      <c r="R120" s="38" t="n">
        <f aca="false">D29</f>
        <v>192.01667882</v>
      </c>
      <c r="S120" s="82" t="n">
        <f aca="false">R120/$R$128</f>
        <v>0.000535423596139172</v>
      </c>
    </row>
    <row r="121" customFormat="false" ht="12.75" hidden="false" customHeight="false" outlineLevel="0" collapsed="false">
      <c r="Q121" s="0" t="s">
        <v>195</v>
      </c>
      <c r="R121" s="38" t="n">
        <f aca="false">D30</f>
        <v>1.72368</v>
      </c>
      <c r="S121" s="82" t="n">
        <f aca="false">R121/$R$128</f>
        <v>4.80634781241223E-006</v>
      </c>
    </row>
    <row r="122" customFormat="false" ht="12.75" hidden="false" customHeight="false" outlineLevel="0" collapsed="false">
      <c r="Q122" s="0" t="s">
        <v>37</v>
      </c>
      <c r="R122" s="38" t="n">
        <f aca="false">D31</f>
        <v>1161.024</v>
      </c>
      <c r="S122" s="82" t="n">
        <f aca="false">R122/$R$128</f>
        <v>0.00323742525443127</v>
      </c>
    </row>
    <row r="123" customFormat="false" ht="12.75" hidden="false" customHeight="false" outlineLevel="0" collapsed="false">
      <c r="Q123" s="0" t="s">
        <v>32</v>
      </c>
      <c r="R123" s="38" t="n">
        <f aca="false">(D32/1.1)</f>
        <v>818.008273</v>
      </c>
      <c r="S123" s="82" t="n">
        <f aca="false">R123/$R$128</f>
        <v>0.00228095253960634</v>
      </c>
    </row>
    <row r="124" customFormat="false" ht="12.75" hidden="false" customHeight="false" outlineLevel="0" collapsed="false">
      <c r="Q124" s="87" t="s">
        <v>91</v>
      </c>
      <c r="R124" s="38" t="n">
        <f aca="false">D41</f>
        <v>16.0704</v>
      </c>
      <c r="S124" s="88" t="n">
        <f aca="false">R124/$R$128</f>
        <v>4.48110623112118E-005</v>
      </c>
    </row>
    <row r="125" customFormat="false" ht="12.75" hidden="false" customHeight="false" outlineLevel="0" collapsed="false">
      <c r="Q125" s="87" t="s">
        <v>95</v>
      </c>
      <c r="R125" s="38" t="n">
        <f aca="false">D42</f>
        <v>20.1438</v>
      </c>
      <c r="S125" s="88" t="n">
        <f aca="false">R125/$R$128</f>
        <v>5.61694218553731E-005</v>
      </c>
    </row>
    <row r="126" customFormat="false" ht="12.75" hidden="false" customHeight="false" outlineLevel="0" collapsed="false">
      <c r="Q126" s="5" t="s">
        <v>83</v>
      </c>
      <c r="R126" s="89" t="n">
        <f aca="false">SUM(R116:R125)</f>
        <v>4424.8655489716</v>
      </c>
      <c r="S126" s="92" t="n">
        <f aca="false">R126/$R$128</f>
        <v>0.0123383939313085</v>
      </c>
    </row>
    <row r="128" customFormat="false" ht="12.75" hidden="false" customHeight="false" outlineLevel="0" collapsed="false">
      <c r="Q128" s="5" t="s">
        <v>196</v>
      </c>
      <c r="R128" s="85" t="n">
        <f aca="false">R126+R102+R97+R113</f>
        <v>358625.731485486</v>
      </c>
    </row>
    <row r="1048576" customFormat="false" ht="12.8" hidden="false" customHeight="false" outlineLevel="0" collapsed="false"/>
  </sheetData>
  <mergeCells count="1">
    <mergeCell ref="Y4:AC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4: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53515625" defaultRowHeight="12.8" zeroHeight="false" outlineLevelRow="0" outlineLevelCol="0"/>
  <sheetData>
    <row r="4" customFormat="false" ht="13.8" hidden="false" customHeight="false" outlineLevel="0" collapsed="false">
      <c r="C4" s="48" t="s">
        <v>197</v>
      </c>
      <c r="D4" s="50" t="n">
        <v>1</v>
      </c>
      <c r="E4" s="50" t="n">
        <v>2</v>
      </c>
      <c r="F4" s="50" t="n">
        <v>3</v>
      </c>
      <c r="G4" s="50" t="n">
        <v>4</v>
      </c>
      <c r="H4" s="50" t="n">
        <v>5</v>
      </c>
    </row>
    <row r="5" customFormat="false" ht="13.8" hidden="false" customHeight="false" outlineLevel="0" collapsed="false">
      <c r="C5" s="93" t="s">
        <v>11</v>
      </c>
      <c r="D5" s="25" t="n">
        <v>1</v>
      </c>
      <c r="E5" s="25" t="n">
        <v>1.05</v>
      </c>
      <c r="F5" s="25" t="n">
        <v>1.1</v>
      </c>
      <c r="G5" s="25" t="n">
        <v>1.2</v>
      </c>
      <c r="H5" s="25" t="n">
        <v>1.5</v>
      </c>
    </row>
    <row r="6" customFormat="false" ht="13.8" hidden="false" customHeight="false" outlineLevel="0" collapsed="false">
      <c r="C6" s="93" t="s">
        <v>12</v>
      </c>
      <c r="D6" s="25" t="n">
        <v>1</v>
      </c>
      <c r="E6" s="25" t="n">
        <v>1.02</v>
      </c>
      <c r="F6" s="25" t="n">
        <v>1.05</v>
      </c>
      <c r="G6" s="25" t="n">
        <v>1.1</v>
      </c>
      <c r="H6" s="25" t="n">
        <v>1.2</v>
      </c>
    </row>
    <row r="7" customFormat="false" ht="13.8" hidden="false" customHeight="false" outlineLevel="0" collapsed="false">
      <c r="C7" s="93" t="s">
        <v>13</v>
      </c>
      <c r="D7" s="25" t="n">
        <v>1</v>
      </c>
      <c r="E7" s="25" t="n">
        <v>1.03</v>
      </c>
      <c r="F7" s="25" t="n">
        <v>1.1</v>
      </c>
      <c r="G7" s="25" t="n">
        <v>1.2</v>
      </c>
      <c r="H7" s="25" t="n">
        <v>1.5</v>
      </c>
    </row>
    <row r="8" customFormat="false" ht="13.8" hidden="false" customHeight="false" outlineLevel="0" collapsed="false">
      <c r="C8" s="93" t="s">
        <v>14</v>
      </c>
      <c r="D8" s="25" t="n">
        <v>1</v>
      </c>
      <c r="E8" s="25" t="n">
        <v>1.01</v>
      </c>
      <c r="F8" s="25" t="n">
        <v>1.02</v>
      </c>
      <c r="G8" s="25" t="n">
        <v>1.05</v>
      </c>
      <c r="H8" s="25" t="n">
        <v>1.1</v>
      </c>
    </row>
    <row r="9" customFormat="false" ht="13.8" hidden="false" customHeight="false" outlineLevel="0" collapsed="false">
      <c r="C9" s="93" t="s">
        <v>15</v>
      </c>
      <c r="D9" s="25" t="n">
        <v>1</v>
      </c>
      <c r="E9" s="25" t="n">
        <v>1.1</v>
      </c>
      <c r="F9" s="25" t="n">
        <v>1.2</v>
      </c>
      <c r="G9" s="25" t="n">
        <v>1.5</v>
      </c>
      <c r="H9" s="25" t="n">
        <v>2</v>
      </c>
    </row>
    <row r="10" customFormat="false" ht="13.8" hidden="false" customHeight="false" outlineLevel="0" collapsed="false">
      <c r="C10" s="48" t="s">
        <v>198</v>
      </c>
      <c r="D10" s="94" t="n">
        <v>1</v>
      </c>
      <c r="E10" s="94" t="n">
        <v>1.02</v>
      </c>
      <c r="F10" s="94" t="n">
        <v>1.05</v>
      </c>
      <c r="G10" s="94" t="n">
        <v>1.1</v>
      </c>
      <c r="H10" s="94" t="n">
        <v>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6417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2023-04-19T11:57:51Z</dcterms:created>
  <dc:creator/>
  <dc:description/>
  <dc:language>en-US</dc:language>
  <cp:lastModifiedBy/>
  <dcterms:modified xsi:type="dcterms:W3CDTF">2023-05-02T21:31:35Z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