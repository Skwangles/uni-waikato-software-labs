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7BF551A0-EFCF-4BB8-9838-75C6E7E1B6B5}"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 name="Pedigree scoring" sheetId="2" r:id="rId2"/>
  </sheets>
  <calcPr calcId="181029" iterateDelta="1E-4"/>
  <extLst>
    <ext xmlns:loext="http://schemas.libreoffice.org/" uri="{7626C862-2A13-11E5-B345-FEFF819CDC9F}">
      <loext:extCalcPr stringRefSyntax="CalcA1"/>
    </ext>
  </extLst>
</workbook>
</file>

<file path=xl/calcChain.xml><?xml version="1.0" encoding="utf-8"?>
<calcChain xmlns="http://schemas.openxmlformats.org/spreadsheetml/2006/main">
  <c r="H49" i="1" l="1"/>
  <c r="H50" i="1"/>
  <c r="H51" i="1"/>
  <c r="H52" i="1"/>
  <c r="H53" i="1"/>
  <c r="H54" i="1"/>
  <c r="H55" i="1"/>
  <c r="H56" i="1"/>
  <c r="H57" i="1"/>
  <c r="H58" i="1"/>
  <c r="H59" i="1"/>
  <c r="H60" i="1"/>
  <c r="H61" i="1"/>
  <c r="H48" i="1"/>
  <c r="AH39" i="1"/>
  <c r="B68" i="1"/>
  <c r="D59" i="1"/>
  <c r="D58" i="1"/>
  <c r="D57" i="1"/>
  <c r="AM56" i="1"/>
  <c r="D61" i="1" s="1"/>
  <c r="AL56" i="1"/>
  <c r="Q41" i="1" s="1"/>
  <c r="AF41" i="1" s="1"/>
  <c r="D56" i="1"/>
  <c r="AM55" i="1"/>
  <c r="D60" i="1" s="1"/>
  <c r="AL55" i="1"/>
  <c r="D55" i="1"/>
  <c r="AM54" i="1"/>
  <c r="AL54" i="1"/>
  <c r="Q39" i="1" s="1"/>
  <c r="AF39" i="1" s="1"/>
  <c r="D54" i="1"/>
  <c r="AM53" i="1"/>
  <c r="AL53" i="1"/>
  <c r="D53" i="1"/>
  <c r="AM52" i="1"/>
  <c r="AL52" i="1"/>
  <c r="Q37" i="1" s="1"/>
  <c r="AF37" i="1" s="1"/>
  <c r="D52" i="1"/>
  <c r="AM51" i="1"/>
  <c r="AL51" i="1"/>
  <c r="Q36" i="1" s="1"/>
  <c r="AF36" i="1" s="1"/>
  <c r="D51" i="1"/>
  <c r="AM50" i="1"/>
  <c r="AL50" i="1"/>
  <c r="AM49" i="1"/>
  <c r="D50" i="1" s="1"/>
  <c r="AL49" i="1"/>
  <c r="D49" i="1"/>
  <c r="AM48" i="1"/>
  <c r="AL48" i="1"/>
  <c r="Q33" i="1" s="1"/>
  <c r="AF33" i="1" s="1"/>
  <c r="AM47" i="1"/>
  <c r="D48" i="1" s="1"/>
  <c r="AL47" i="1"/>
  <c r="Q32" i="1" s="1"/>
  <c r="AF32" i="1" s="1"/>
  <c r="C43" i="1"/>
  <c r="D43" i="1" s="1"/>
  <c r="R101" i="1" s="1"/>
  <c r="B43" i="1"/>
  <c r="D42" i="1"/>
  <c r="R125" i="1" s="1"/>
  <c r="C42" i="1"/>
  <c r="B42" i="1"/>
  <c r="AH41" i="1"/>
  <c r="AG41" i="1"/>
  <c r="X41" i="1"/>
  <c r="AI41" i="1" s="1"/>
  <c r="W41" i="1"/>
  <c r="T41" i="1"/>
  <c r="S41" i="1"/>
  <c r="B41" i="1"/>
  <c r="C41" i="1" s="1"/>
  <c r="D41" i="1" s="1"/>
  <c r="R124" i="1" s="1"/>
  <c r="AH40" i="1"/>
  <c r="AG40" i="1"/>
  <c r="AF40" i="1"/>
  <c r="X40" i="1"/>
  <c r="W40" i="1"/>
  <c r="AI40" i="1" s="1"/>
  <c r="T40" i="1"/>
  <c r="S40" i="1"/>
  <c r="Q40" i="1"/>
  <c r="B40" i="1"/>
  <c r="C40" i="1" s="1"/>
  <c r="D40" i="1" s="1"/>
  <c r="AG39" i="1"/>
  <c r="X39" i="1"/>
  <c r="AI39" i="1" s="1"/>
  <c r="W39" i="1"/>
  <c r="T39" i="1"/>
  <c r="S39" i="1"/>
  <c r="AH38" i="1"/>
  <c r="AJ38" i="1" s="1"/>
  <c r="AG38" i="1"/>
  <c r="AF38" i="1"/>
  <c r="X38" i="1"/>
  <c r="AI38" i="1" s="1"/>
  <c r="W38" i="1"/>
  <c r="T38" i="1"/>
  <c r="S38" i="1"/>
  <c r="Q38" i="1"/>
  <c r="AH37" i="1"/>
  <c r="AG37" i="1"/>
  <c r="X37" i="1"/>
  <c r="W37" i="1"/>
  <c r="AI37" i="1" s="1"/>
  <c r="T37" i="1"/>
  <c r="S37" i="1"/>
  <c r="AH36" i="1"/>
  <c r="AG36" i="1"/>
  <c r="X36" i="1"/>
  <c r="W36" i="1"/>
  <c r="AI36" i="1" s="1"/>
  <c r="T36" i="1"/>
  <c r="S36" i="1"/>
  <c r="AI35" i="1"/>
  <c r="AH35" i="1"/>
  <c r="AJ35" i="1" s="1"/>
  <c r="AG35" i="1"/>
  <c r="X35" i="1"/>
  <c r="W35" i="1"/>
  <c r="T35" i="1"/>
  <c r="S35" i="1"/>
  <c r="Q35" i="1"/>
  <c r="AF35" i="1" s="1"/>
  <c r="AI34" i="1"/>
  <c r="AH34" i="1"/>
  <c r="AG34" i="1"/>
  <c r="X34" i="1"/>
  <c r="W34" i="1"/>
  <c r="T34" i="1"/>
  <c r="S34" i="1"/>
  <c r="Q34" i="1"/>
  <c r="AF34" i="1" s="1"/>
  <c r="AH33" i="1"/>
  <c r="AJ33" i="1" s="1"/>
  <c r="AG33" i="1"/>
  <c r="X33" i="1"/>
  <c r="AI33" i="1" s="1"/>
  <c r="W33" i="1"/>
  <c r="T33" i="1"/>
  <c r="S33" i="1"/>
  <c r="AI32" i="1"/>
  <c r="AH32" i="1"/>
  <c r="AJ32" i="1" s="1"/>
  <c r="AG32" i="1"/>
  <c r="X32" i="1"/>
  <c r="W32" i="1"/>
  <c r="T32" i="1"/>
  <c r="S32" i="1"/>
  <c r="B32" i="1"/>
  <c r="C32" i="1" s="1"/>
  <c r="F30" i="1"/>
  <c r="H16" i="1" s="1"/>
  <c r="B29" i="1"/>
  <c r="C29" i="1" s="1"/>
  <c r="B28" i="1"/>
  <c r="C28" i="1" s="1"/>
  <c r="AJ27" i="1"/>
  <c r="AI27" i="1"/>
  <c r="AH27" i="1"/>
  <c r="AG27" i="1"/>
  <c r="X27" i="1"/>
  <c r="W27" i="1"/>
  <c r="T27" i="1"/>
  <c r="S27" i="1"/>
  <c r="Q27" i="1"/>
  <c r="AF27" i="1" s="1"/>
  <c r="AI26" i="1"/>
  <c r="AJ26" i="1" s="1"/>
  <c r="AH26" i="1"/>
  <c r="AG26" i="1"/>
  <c r="X26" i="1"/>
  <c r="W26" i="1"/>
  <c r="T26" i="1"/>
  <c r="S26" i="1"/>
  <c r="Q26" i="1"/>
  <c r="AF26" i="1" s="1"/>
  <c r="F26" i="1"/>
  <c r="H17" i="1" s="1"/>
  <c r="AH25" i="1"/>
  <c r="AG25" i="1"/>
  <c r="X25" i="1"/>
  <c r="W25" i="1"/>
  <c r="AI25" i="1" s="1"/>
  <c r="AJ25" i="1" s="1"/>
  <c r="T25" i="1"/>
  <c r="S25" i="1"/>
  <c r="Q25" i="1"/>
  <c r="AF25" i="1" s="1"/>
  <c r="AH24" i="1"/>
  <c r="AG24" i="1"/>
  <c r="AF24" i="1"/>
  <c r="X24" i="1"/>
  <c r="W24" i="1"/>
  <c r="AI24" i="1" s="1"/>
  <c r="AJ24" i="1" s="1"/>
  <c r="T24" i="1"/>
  <c r="S24" i="1"/>
  <c r="Q24" i="1"/>
  <c r="AH20" i="1"/>
  <c r="AG20" i="1"/>
  <c r="AF20" i="1"/>
  <c r="X20" i="1"/>
  <c r="W20" i="1"/>
  <c r="AI20" i="1" s="1"/>
  <c r="AJ20" i="1" s="1"/>
  <c r="S20" i="1"/>
  <c r="T20" i="1" s="1"/>
  <c r="Q20" i="1"/>
  <c r="H20" i="1"/>
  <c r="G20" i="1"/>
  <c r="AH19" i="1"/>
  <c r="AJ19" i="1" s="1"/>
  <c r="AG19" i="1"/>
  <c r="AF19" i="1"/>
  <c r="X19" i="1"/>
  <c r="AI19" i="1" s="1"/>
  <c r="W19" i="1"/>
  <c r="T19" i="1"/>
  <c r="S19" i="1"/>
  <c r="Q19" i="1"/>
  <c r="E19" i="1"/>
  <c r="AH18" i="1"/>
  <c r="AG18" i="1"/>
  <c r="AF18" i="1"/>
  <c r="X18" i="1"/>
  <c r="W18" i="1"/>
  <c r="AI18" i="1" s="1"/>
  <c r="S18" i="1"/>
  <c r="T18" i="1" s="1"/>
  <c r="Q18" i="1"/>
  <c r="AI17" i="1"/>
  <c r="AH17" i="1"/>
  <c r="AJ17" i="1" s="1"/>
  <c r="AG17" i="1"/>
  <c r="AF17" i="1"/>
  <c r="X17" i="1"/>
  <c r="W17" i="1"/>
  <c r="S17" i="1"/>
  <c r="T17" i="1" s="1"/>
  <c r="Q17" i="1"/>
  <c r="G17" i="1"/>
  <c r="G16" i="1"/>
  <c r="C19" i="1" s="1"/>
  <c r="G15" i="1"/>
  <c r="AH12" i="1"/>
  <c r="AG12" i="1"/>
  <c r="AF12" i="1"/>
  <c r="X12" i="1"/>
  <c r="W12" i="1"/>
  <c r="AI12" i="1" s="1"/>
  <c r="T12" i="1"/>
  <c r="S12" i="1"/>
  <c r="Q12" i="1"/>
  <c r="H12" i="1"/>
  <c r="H13" i="1" s="1"/>
  <c r="G12" i="1"/>
  <c r="C12" i="1"/>
  <c r="AH11" i="1"/>
  <c r="AJ11" i="1" s="1"/>
  <c r="AG11" i="1"/>
  <c r="AF11" i="1"/>
  <c r="X11" i="1"/>
  <c r="W11" i="1"/>
  <c r="AI11" i="1" s="1"/>
  <c r="T11" i="1"/>
  <c r="S11" i="1"/>
  <c r="Q11" i="1"/>
  <c r="H11" i="1"/>
  <c r="C11" i="1"/>
  <c r="AH10" i="1"/>
  <c r="AJ10" i="1" s="1"/>
  <c r="AG10" i="1"/>
  <c r="AF10" i="1"/>
  <c r="X10" i="1"/>
  <c r="AI10" i="1" s="1"/>
  <c r="W10" i="1"/>
  <c r="T10" i="1"/>
  <c r="S10" i="1"/>
  <c r="Q10" i="1"/>
  <c r="C10" i="1"/>
  <c r="B31" i="1" s="1"/>
  <c r="C31" i="1" s="1"/>
  <c r="AH9" i="1"/>
  <c r="AG9" i="1"/>
  <c r="AF9" i="1"/>
  <c r="X9" i="1"/>
  <c r="AI9" i="1" s="1"/>
  <c r="W9" i="1"/>
  <c r="T9" i="1"/>
  <c r="S9" i="1"/>
  <c r="Q9" i="1"/>
  <c r="C9" i="1"/>
  <c r="C20" i="1" s="1"/>
  <c r="AH8" i="1"/>
  <c r="AG8" i="1"/>
  <c r="AF8" i="1"/>
  <c r="X8" i="1"/>
  <c r="AI8" i="1" s="1"/>
  <c r="W8" i="1"/>
  <c r="T8" i="1"/>
  <c r="S8" i="1"/>
  <c r="Q8" i="1"/>
  <c r="C8" i="1"/>
  <c r="AI7" i="1"/>
  <c r="AH7" i="1"/>
  <c r="AJ7" i="1" s="1"/>
  <c r="AG7" i="1"/>
  <c r="AF7" i="1"/>
  <c r="X7" i="1"/>
  <c r="W7" i="1"/>
  <c r="T7" i="1"/>
  <c r="S7" i="1"/>
  <c r="Q7" i="1"/>
  <c r="H7" i="1"/>
  <c r="G7" i="1"/>
  <c r="C7" i="1"/>
  <c r="G6" i="1"/>
  <c r="H6" i="1" s="1"/>
  <c r="G5" i="1"/>
  <c r="H5" i="1" s="1"/>
  <c r="AJ34" i="1" l="1"/>
  <c r="B8" i="1"/>
  <c r="F58" i="1"/>
  <c r="F57" i="1"/>
  <c r="D32" i="1"/>
  <c r="AJ37" i="1"/>
  <c r="AJ9" i="1"/>
  <c r="R100" i="1"/>
  <c r="D44" i="1"/>
  <c r="B95" i="1" s="1"/>
  <c r="C95" i="1" s="1"/>
  <c r="F60" i="1"/>
  <c r="D31" i="1"/>
  <c r="R122" i="1" s="1"/>
  <c r="F59" i="1"/>
  <c r="F61" i="1"/>
  <c r="AJ8" i="1"/>
  <c r="E20" i="1"/>
  <c r="B27" i="1"/>
  <c r="C27" i="1" s="1"/>
  <c r="D28" i="1"/>
  <c r="R119" i="1" s="1"/>
  <c r="F51" i="1"/>
  <c r="B30" i="1"/>
  <c r="C30" i="1" s="1"/>
  <c r="F52" i="1" s="1"/>
  <c r="AJ18" i="1"/>
  <c r="AJ39" i="1"/>
  <c r="H8" i="1"/>
  <c r="F54" i="1"/>
  <c r="D29" i="1"/>
  <c r="R120" i="1" s="1"/>
  <c r="F53" i="1"/>
  <c r="AJ40" i="1"/>
  <c r="AJ12" i="1"/>
  <c r="H18" i="1"/>
  <c r="AJ36" i="1"/>
  <c r="AJ41" i="1"/>
  <c r="E7" i="1"/>
  <c r="C18" i="1"/>
  <c r="C17" i="1"/>
  <c r="C13" i="1"/>
  <c r="G53" i="1" l="1"/>
  <c r="I53" i="1" s="1"/>
  <c r="R102" i="1"/>
  <c r="G52" i="1"/>
  <c r="I52" i="1" s="1"/>
  <c r="R108" i="1" s="1"/>
  <c r="C21" i="1"/>
  <c r="E17" i="1"/>
  <c r="E21" i="1" s="1"/>
  <c r="B17" i="1"/>
  <c r="G57" i="1"/>
  <c r="I57" i="1" s="1"/>
  <c r="F56" i="1"/>
  <c r="F55" i="1"/>
  <c r="D27" i="1"/>
  <c r="G54" i="1"/>
  <c r="I54" i="1"/>
  <c r="G61" i="1"/>
  <c r="I61" i="1" s="1"/>
  <c r="G59" i="1"/>
  <c r="I59" i="1" s="1"/>
  <c r="G60" i="1"/>
  <c r="I60" i="1" s="1"/>
  <c r="D30" i="1"/>
  <c r="R121" i="1" s="1"/>
  <c r="B25" i="1"/>
  <c r="B10" i="1"/>
  <c r="B12" i="1"/>
  <c r="B11" i="1"/>
  <c r="B9" i="1"/>
  <c r="B7" i="1"/>
  <c r="G51" i="1"/>
  <c r="I51" i="1" s="1"/>
  <c r="R107" i="1" s="1"/>
  <c r="R123" i="1"/>
  <c r="R95" i="1"/>
  <c r="G58" i="1"/>
  <c r="I58" i="1" s="1"/>
  <c r="B26" i="1"/>
  <c r="C26" i="1" s="1"/>
  <c r="E18" i="1"/>
  <c r="R109" i="1" l="1"/>
  <c r="R111" i="1"/>
  <c r="R112" i="1"/>
  <c r="B19" i="1"/>
  <c r="B20" i="1"/>
  <c r="R97" i="1"/>
  <c r="B18" i="1"/>
  <c r="D26" i="1"/>
  <c r="R117" i="1" s="1"/>
  <c r="F50" i="1"/>
  <c r="R96" i="1"/>
  <c r="R118" i="1"/>
  <c r="C25" i="1"/>
  <c r="B33" i="1"/>
  <c r="G55" i="1"/>
  <c r="I55" i="1" s="1"/>
  <c r="G56" i="1"/>
  <c r="I56" i="1" s="1"/>
  <c r="R110" i="1" l="1"/>
  <c r="F49" i="1"/>
  <c r="D25" i="1"/>
  <c r="F48" i="1"/>
  <c r="C33" i="1"/>
  <c r="G50" i="1"/>
  <c r="I50" i="1" s="1"/>
  <c r="R106" i="1" s="1"/>
  <c r="G48" i="1" l="1"/>
  <c r="I48" i="1" s="1"/>
  <c r="D33" i="1"/>
  <c r="B94" i="1" s="1"/>
  <c r="R116" i="1"/>
  <c r="G49" i="1"/>
  <c r="I49" i="1" s="1"/>
  <c r="R105" i="1" l="1"/>
  <c r="I62" i="1"/>
  <c r="B96" i="1" s="1"/>
  <c r="C96" i="1" s="1"/>
  <c r="C94" i="1"/>
  <c r="R126" i="1"/>
  <c r="C97" i="1" l="1"/>
  <c r="D95" i="1" s="1"/>
  <c r="B97" i="1"/>
  <c r="R113" i="1"/>
  <c r="R128" i="1" s="1"/>
  <c r="D94" i="1" l="1"/>
  <c r="S125" i="1"/>
  <c r="S124" i="1"/>
  <c r="S101" i="1"/>
  <c r="S120" i="1"/>
  <c r="S119" i="1"/>
  <c r="S122" i="1"/>
  <c r="S100" i="1"/>
  <c r="S107" i="1"/>
  <c r="S123" i="1"/>
  <c r="S102" i="1"/>
  <c r="S121" i="1"/>
  <c r="S108" i="1"/>
  <c r="S109" i="1"/>
  <c r="S111" i="1"/>
  <c r="S95" i="1"/>
  <c r="S118" i="1"/>
  <c r="S96" i="1"/>
  <c r="S97" i="1"/>
  <c r="S112" i="1"/>
  <c r="S117" i="1"/>
  <c r="S106" i="1"/>
  <c r="S110" i="1"/>
  <c r="S116" i="1"/>
  <c r="S105" i="1"/>
  <c r="S113" i="1"/>
  <c r="D96" i="1"/>
  <c r="S126" i="1"/>
</calcChain>
</file>

<file path=xl/sharedStrings.xml><?xml version="1.0" encoding="utf-8"?>
<sst xmlns="http://schemas.openxmlformats.org/spreadsheetml/2006/main" count="359" uniqueCount="199">
  <si>
    <t>Variation</t>
  </si>
  <si>
    <t>Weight breakdown of materials per device</t>
  </si>
  <si>
    <t>Graphics Card</t>
  </si>
  <si>
    <t>Pedigree ranking (1 = excellent, 5 = poor)</t>
  </si>
  <si>
    <t>Platform</t>
  </si>
  <si>
    <t>kg mass</t>
  </si>
  <si>
    <t>Plastic</t>
  </si>
  <si>
    <t>Sensitivity</t>
  </si>
  <si>
    <t>Platform composition (kg/product)</t>
  </si>
  <si>
    <t>CO2e/kiwifruit over lifetime</t>
  </si>
  <si>
    <t>% different to base</t>
  </si>
  <si>
    <t>Reliability</t>
  </si>
  <si>
    <t>Completeness</t>
  </si>
  <si>
    <t>Temporal</t>
  </si>
  <si>
    <t>Geographical</t>
  </si>
  <si>
    <t>Technological</t>
  </si>
  <si>
    <t>Pedigree ranking</t>
  </si>
  <si>
    <t>Uncertainty score (SDg95)</t>
  </si>
  <si>
    <t>Sensitivity (%)</t>
  </si>
  <si>
    <t>Overall</t>
  </si>
  <si>
    <t>Material</t>
  </si>
  <si>
    <t>Percentage (%)</t>
  </si>
  <si>
    <t>Mass (kg)</t>
  </si>
  <si>
    <t>Aluminium</t>
  </si>
  <si>
    <t>Calculation Notes</t>
  </si>
  <si>
    <t>Base</t>
  </si>
  <si>
    <t>Low</t>
  </si>
  <si>
    <t>High</t>
  </si>
  <si>
    <t>Platform Materials</t>
  </si>
  <si>
    <t>Copper</t>
  </si>
  <si>
    <t>Assuming remaining weight after tallying everything is Aluminium plating, linear actuators, motors, air compressor, etc</t>
  </si>
  <si>
    <t>Data approximated with informed specifications, NZ aluminium emission data supplied</t>
  </si>
  <si>
    <t>Mild steel</t>
  </si>
  <si>
    <t>Stated in Jones, M. et al (2019)</t>
  </si>
  <si>
    <t xml:space="preserve">Exact measure was specified, data drawn from official sources using UK emissions data, </t>
  </si>
  <si>
    <t>Assuming approx 8% of system is controller components generalised to be copper, &amp; 24m of cable equates to approx .6612kg/m at assumed 5mm gauge</t>
  </si>
  <si>
    <t>uses UK conversion factors 2022</t>
  </si>
  <si>
    <t>Battery</t>
  </si>
  <si>
    <t>2x16 cell WINSTON TSWB-LYP90AHA LiFeYPO4 battery packs</t>
  </si>
  <si>
    <t>Data provided by manufacturer, uses UK conversion factors 2022</t>
  </si>
  <si>
    <t>Cast iron</t>
  </si>
  <si>
    <t>Copper (Mass of total)</t>
  </si>
  <si>
    <t>Honda stated casing is cast iron, will assume majority of the motor is cast iron</t>
  </si>
  <si>
    <t>Tyre</t>
  </si>
  <si>
    <t>Cabling</t>
  </si>
  <si>
    <t>4x Quad bikes are similar tyres, around 13kg</t>
  </si>
  <si>
    <t>Kiwifruit Picker Attachment</t>
  </si>
  <si>
    <t>Gripper</t>
  </si>
  <si>
    <t>Kg CO2e/kiwifruit over lifetime</t>
  </si>
  <si>
    <t>Silicone</t>
  </si>
  <si>
    <t>Attachment Materials</t>
  </si>
  <si>
    <t>67kg (4x28.6kg) worth of Aluminium arms (Wyatt, H., et al. 2017) + approx. 200k worth of Aluminium casing + 40% of graphics card</t>
  </si>
  <si>
    <t xml:space="preserve">4x (approx.) 2kg per LED lights, camera covers, webcam mostly plastic </t>
  </si>
  <si>
    <t>Lighting</t>
  </si>
  <si>
    <t>Approx 40% of the weight of the gripper</t>
  </si>
  <si>
    <t>Assuming equivalent to platform + 30% of graphics card</t>
  </si>
  <si>
    <t>Mass approximated, statistics within 2022 from UK</t>
  </si>
  <si>
    <t>kWh per product</t>
  </si>
  <si>
    <t>Combined Material Inputs Used</t>
  </si>
  <si>
    <t>Equipment</t>
  </si>
  <si>
    <t>Equipment Usage</t>
  </si>
  <si>
    <t>Complete Product</t>
  </si>
  <si>
    <t>Mass (tonnes)</t>
  </si>
  <si>
    <t>kg CO2e</t>
  </si>
  <si>
    <t>kgCO2e/tonne</t>
  </si>
  <si>
    <t>Statistics provided by manufacturer, and electricity use emissions provided by New Zealand Government</t>
  </si>
  <si>
    <t>NZAS 2021 t CO2 emissions/aluminium factor</t>
  </si>
  <si>
    <t>Statistics estimated from professional’s consumption statistics, and electricity use emissions provided by New Zealand Government</t>
  </si>
  <si>
    <t>Average Plastics rigid conversion factor used</t>
  </si>
  <si>
    <t>Machining/Fabrication complexity provided by informed estimation of products needed. Statistics provided by manufacturer, and electricity use emissions provided by New Zealand Government</t>
  </si>
  <si>
    <t>UK Conversion factors ‘Metals’</t>
  </si>
  <si>
    <t>Complexity of print approximated from weighing and visually inspecting. Performance statistics provided by manufacturer, and electricity use emissions provided by New Zealand Government</t>
  </si>
  <si>
    <t>Tyres</t>
  </si>
  <si>
    <t>UK Conversion factors ‘Tyres’</t>
  </si>
  <si>
    <t>Cast Iron</t>
  </si>
  <si>
    <t>Sævarsdottir, G (2021) silicon kg CO2/kg factor</t>
  </si>
  <si>
    <t>Batteries UK conversion factor</t>
  </si>
  <si>
    <t>Transport distances</t>
  </si>
  <si>
    <t>Transport</t>
  </si>
  <si>
    <t>Emission data provided by ministry for environment in 2020, and distances provided by Google Maps</t>
  </si>
  <si>
    <t>Total</t>
  </si>
  <si>
    <t>Emissions from electricity, NZ (kg CO2/MJ)</t>
  </si>
  <si>
    <t>Emission data provided by ministry for environment in 2020, and distances provided by ShippingTraffic.net</t>
  </si>
  <si>
    <t>Electricity consumption</t>
  </si>
  <si>
    <t>Power (kWhr)</t>
  </si>
  <si>
    <t>Power (MJ)</t>
  </si>
  <si>
    <t>CO2 emissions (kg CO2)</t>
  </si>
  <si>
    <t>Calculation notes</t>
  </si>
  <si>
    <t>Laser cutting</t>
  </si>
  <si>
    <t>Assuming on average it takes 2minutes to cut out around 10kg worth of metal, based on observing laser cutters working, and their speed at varying thicknesses. Assuming the use of Stainless Design’s 6kW laser cutter. Assuming it takes approx 10 minutes to cut all aluminium pieces needed, as laser cutters are very quick and the designs of the pieces are relatively simple. Assume it will take around 10 mins to just do the mild steel due to its higher thickness and detail.</t>
  </si>
  <si>
    <t>Welding</t>
  </si>
  <si>
    <t xml:space="preserve">Welding only occurs for the chassis, so we will only use that mass. Welding academy provides an approximate usage of electricity per hour of 9kW. Middle of the road welding, Mark lay has quoted that around 2 days worth of 8hours welding would be the approximate time to weld 9kW * (8*2) = </t>
  </si>
  <si>
    <t>Fabrication/Machining</t>
  </si>
  <si>
    <t>Engine is machined, plus approx 10% of the Aluminium (bearnings, motors, etc).Doosan DNM6700XL used by stainless design with max power of 18.5kW, will assume the machine reaches approx 30% of the max spindle power as the materials are relatively soft, noted in millscnc.co.uk. Will assume an engine takes about an hour to cnc mill, and all other ball bearings, components, etc will take an additional 1 hour.</t>
  </si>
  <si>
    <t>3D Printing</t>
  </si>
  <si>
    <t>150W Rated Resin printer, for example, Creality Halot mage pro. The example gripper in my possesion is around 20cm tall, the regular printing speed rated by creality is 7cm per hour, which is approx 20/7 * .15kW</t>
  </si>
  <si>
    <t>Transportation</t>
  </si>
  <si>
    <t>Distances</t>
  </si>
  <si>
    <t>km</t>
  </si>
  <si>
    <t>Origin</t>
  </si>
  <si>
    <t>Destination</t>
  </si>
  <si>
    <t>Distance (km)</t>
  </si>
  <si>
    <t>Transport mode</t>
  </si>
  <si>
    <t>(g CO2/tonne.km)</t>
  </si>
  <si>
    <t>(kg CO2/tonne)</t>
  </si>
  <si>
    <t>kg CO2</t>
  </si>
  <si>
    <t>Invercargill, Aluminium smelter</t>
  </si>
  <si>
    <t>Stainless Design, Hamilton</t>
  </si>
  <si>
    <t>Truck</t>
  </si>
  <si>
    <t>NZ aluminium</t>
  </si>
  <si>
    <t>Stainless Designs Hamilton</t>
  </si>
  <si>
    <t>Robotics Plus, Tauranga</t>
  </si>
  <si>
    <t>Supercheap Auto, Tauranga</t>
  </si>
  <si>
    <t>Light was majority of the weight, assumed so</t>
  </si>
  <si>
    <t>Bridgestone, Tauranga</t>
  </si>
  <si>
    <t>Tyres distributor</t>
  </si>
  <si>
    <t>Resin Craft, Hamilton</t>
  </si>
  <si>
    <t>Got from Smooth-on distributor in Ham – referenced from ‘design report’</t>
  </si>
  <si>
    <t>Honda Engine (Cast Iron)</t>
  </si>
  <si>
    <t>Port of Tauranga</t>
  </si>
  <si>
    <t>Honda has Thailand factory, which is closest, assumed that was the origin</t>
  </si>
  <si>
    <t>Thailand, Port of Bangkok</t>
  </si>
  <si>
    <t>Ship</t>
  </si>
  <si>
    <t>China is largest consumer and producer</t>
  </si>
  <si>
    <t>Port of Shanghai</t>
  </si>
  <si>
    <t>Gmaps measured distances from Shanghai, largest chinese port</t>
  </si>
  <si>
    <t xml:space="preserve">Port of Hamburg </t>
  </si>
  <si>
    <t>Prague, Czech Republic</t>
  </si>
  <si>
    <t>Port of Hamburg</t>
  </si>
  <si>
    <t>Train</t>
  </si>
  <si>
    <t>Gmaps measured distances</t>
  </si>
  <si>
    <t>Specification table</t>
  </si>
  <si>
    <t>Specification Name</t>
  </si>
  <si>
    <t>Quantity</t>
  </si>
  <si>
    <t>Unit</t>
  </si>
  <si>
    <t>Harvesting capacity (fruit per hour)</t>
  </si>
  <si>
    <t>Kiwifruit /h</t>
  </si>
  <si>
    <r>
      <rPr>
        <b/>
        <sz val="11"/>
        <color rgb="FF000000"/>
        <rFont val="Calibri"/>
        <family val="2"/>
        <charset val="1"/>
      </rPr>
      <t>gCO</t>
    </r>
    <r>
      <rPr>
        <b/>
        <vertAlign val="subscript"/>
        <sz val="11"/>
        <color rgb="FF000000"/>
        <rFont val="Calibri"/>
        <family val="2"/>
        <charset val="1"/>
      </rPr>
      <t>2</t>
    </r>
    <r>
      <rPr>
        <b/>
        <sz val="11"/>
        <color rgb="FF000000"/>
        <rFont val="Calibri"/>
        <family val="2"/>
        <charset val="1"/>
      </rPr>
      <t>/tonne.km</t>
    </r>
  </si>
  <si>
    <t>Type of fruit</t>
  </si>
  <si>
    <t>Kiwifruit</t>
  </si>
  <si>
    <t>-</t>
  </si>
  <si>
    <t>Rail</t>
  </si>
  <si>
    <t>Kiwifruit Carrying capacity</t>
  </si>
  <si>
    <t>kg</t>
  </si>
  <si>
    <t>Small container vessel</t>
  </si>
  <si>
    <t>Energy consumption (platform)</t>
  </si>
  <si>
    <t>kW</t>
  </si>
  <si>
    <t>Road transport</t>
  </si>
  <si>
    <t>Energy consumption (attachment)</t>
  </si>
  <si>
    <t>Power generation</t>
  </si>
  <si>
    <t>8.64 (battery) + 16 (engine)</t>
  </si>
  <si>
    <t>Time between recharge</t>
  </si>
  <si>
    <t>N/A</t>
  </si>
  <si>
    <t>hours</t>
  </si>
  <si>
    <t>Max daily operating time</t>
  </si>
  <si>
    <t>Battery Capacity</t>
  </si>
  <si>
    <t>kWh</t>
  </si>
  <si>
    <t>Robot arms</t>
  </si>
  <si>
    <t>Mass (attachment)</t>
  </si>
  <si>
    <t>Mass (platform</t>
  </si>
  <si>
    <t>Fuel capacity</t>
  </si>
  <si>
    <t>Wheel Tread</t>
  </si>
  <si>
    <t>Tractor</t>
  </si>
  <si>
    <t>Number wheels</t>
  </si>
  <si>
    <t>Electricity generation type</t>
  </si>
  <si>
    <t>Petrol + Battery (Hybrid)</t>
  </si>
  <si>
    <t>Actuation method</t>
  </si>
  <si>
    <t>Pneumatic</t>
  </si>
  <si>
    <t>Operating life</t>
  </si>
  <si>
    <t>Impact results</t>
  </si>
  <si>
    <t>Process</t>
  </si>
  <si>
    <r>
      <rPr>
        <b/>
        <sz val="11"/>
        <color rgb="FF000000"/>
        <rFont val="Calibri"/>
        <family val="2"/>
        <charset val="1"/>
      </rPr>
      <t>CO</t>
    </r>
    <r>
      <rPr>
        <b/>
        <vertAlign val="subscript"/>
        <sz val="11"/>
        <color rgb="FF000000"/>
        <rFont val="Calibri"/>
        <family val="2"/>
        <charset val="1"/>
      </rPr>
      <t>2</t>
    </r>
    <r>
      <rPr>
        <b/>
        <sz val="11"/>
        <color rgb="FF000000"/>
        <rFont val="Calibri"/>
        <family val="2"/>
        <charset val="1"/>
      </rPr>
      <t xml:space="preserve"> emissions (kg)</t>
    </r>
  </si>
  <si>
    <r>
      <rPr>
        <b/>
        <sz val="11"/>
        <color rgb="FF000000"/>
        <rFont val="Calibri"/>
        <family val="2"/>
        <charset val="1"/>
      </rPr>
      <t>CO</t>
    </r>
    <r>
      <rPr>
        <b/>
        <vertAlign val="subscript"/>
        <sz val="11"/>
        <color rgb="FF000000"/>
        <rFont val="Calibri"/>
        <family val="2"/>
        <charset val="1"/>
      </rPr>
      <t>2</t>
    </r>
    <r>
      <rPr>
        <b/>
        <sz val="11"/>
        <color rgb="FF000000"/>
        <rFont val="Calibri"/>
        <family val="2"/>
        <charset val="1"/>
      </rPr>
      <t xml:space="preserve"> emissions (kg/kiwifruit picked over lifetime)</t>
    </r>
  </si>
  <si>
    <t>% of total</t>
  </si>
  <si>
    <t>CO2 Emissions</t>
  </si>
  <si>
    <t>% of grand total</t>
  </si>
  <si>
    <t>Raw Materials</t>
  </si>
  <si>
    <t>Scope 1</t>
  </si>
  <si>
    <t>Welding/Grinding offcuts</t>
  </si>
  <si>
    <t>Copper Offcuts</t>
  </si>
  <si>
    <t>Scope 2</t>
  </si>
  <si>
    <t>3D printing</t>
  </si>
  <si>
    <t>Scope 3, Category 3</t>
  </si>
  <si>
    <t>Aluminium Transport</t>
  </si>
  <si>
    <t>Plastic Transport</t>
  </si>
  <si>
    <t>Tyre Transport</t>
  </si>
  <si>
    <t>Silicone transport</t>
  </si>
  <si>
    <t>Cast Iron Transport</t>
  </si>
  <si>
    <t>Copper Transport</t>
  </si>
  <si>
    <t>Mild Steel Transport</t>
  </si>
  <si>
    <t>Battery Transport</t>
  </si>
  <si>
    <t>Scope 3, Category 4</t>
  </si>
  <si>
    <t>Silicon</t>
  </si>
  <si>
    <t>Grand Total</t>
  </si>
  <si>
    <t>Score</t>
  </si>
  <si>
    <t>Sample size</t>
  </si>
  <si>
    <t>Uses UK conversion factors 2022, levels were estimated, covers some sites, and emissions are specific to New Zealand in recent years - Uses LCA on related product</t>
  </si>
  <si>
    <t>Plastics used approximated based on observations, and individual impacts were generalised. Uses UK conversion factors 2022.  Uses LCA on related product</t>
  </si>
  <si>
    <t>Exact type found, manfuacturer specified information, and relevant New Zealand related statistics. Based on physical observation of a related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</si>
</sst>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
    <numFmt numFmtId="165" formatCode="0.0"/>
    <numFmt numFmtId="166" formatCode="0.000"/>
    <numFmt numFmtId="167" formatCode="0.0000"/>
    <numFmt numFmtId="168" formatCode="0.00000"/>
    <numFmt numFmtId="169" formatCode="0.0000000"/>
  </numFmts>
  <fonts count="12" x14ac:knownFonts="1">
    <font>
      <sz val="10"/>
      <name val="Arial"/>
      <family val="2"/>
      <charset val="1"/>
    </font>
    <font>
      <b/>
      <sz val="16"/>
      <name val="Arial"/>
      <family val="2"/>
      <charset val="1"/>
    </font>
    <font>
      <b/>
      <sz val="10"/>
      <name val="Arial"/>
      <family val="2"/>
      <charset val="1"/>
    </font>
    <font>
      <b/>
      <sz val="11"/>
      <color rgb="FF000000"/>
      <name val="Calibri"/>
      <family val="2"/>
      <charset val="1"/>
    </font>
    <font>
      <sz val="8"/>
      <name val="Arial"/>
      <family val="2"/>
      <charset val="1"/>
    </font>
    <font>
      <sz val="10"/>
      <color rgb="FF000000"/>
      <name val="Arial"/>
      <family val="2"/>
      <charset val="1"/>
    </font>
    <font>
      <sz val="11"/>
      <color rgb="FF000000"/>
      <name val="Arial"/>
      <family val="2"/>
      <charset val="1"/>
    </font>
    <font>
      <sz val="2"/>
      <name val="Arial"/>
      <family val="2"/>
      <charset val="1"/>
    </font>
    <font>
      <sz val="11"/>
      <name val="Arial"/>
      <family val="2"/>
      <charset val="1"/>
    </font>
    <font>
      <b/>
      <sz val="10"/>
      <name val="Times New Roman"/>
      <family val="1"/>
      <charset val="1"/>
    </font>
    <font>
      <sz val="10"/>
      <name val="Times New Roman"/>
      <family val="1"/>
      <charset val="1"/>
    </font>
    <font>
      <b/>
      <vertAlign val="subscript"/>
      <sz val="11"/>
      <color rgb="FF000000"/>
      <name val="Calibri"/>
      <family val="2"/>
      <charset val="1"/>
    </font>
  </fonts>
  <fills count="13">
    <fill>
      <patternFill patternType="none"/>
    </fill>
    <fill>
      <patternFill patternType="gray125"/>
    </fill>
    <fill>
      <patternFill patternType="solid">
        <fgColor rgb="FFFFFF00"/>
        <bgColor rgb="FFFFFF00"/>
      </patternFill>
    </fill>
    <fill>
      <patternFill patternType="solid">
        <fgColor rgb="FF808080"/>
        <bgColor rgb="FF999999"/>
      </patternFill>
    </fill>
    <fill>
      <patternFill patternType="solid">
        <fgColor rgb="FF729FCF"/>
        <bgColor rgb="FF999999"/>
      </patternFill>
    </fill>
    <fill>
      <patternFill patternType="solid">
        <fgColor rgb="FF6B5E9B"/>
        <bgColor rgb="FF808080"/>
      </patternFill>
    </fill>
    <fill>
      <patternFill patternType="solid">
        <fgColor rgb="FFFFBF00"/>
        <bgColor rgb="FFFF9900"/>
      </patternFill>
    </fill>
    <fill>
      <patternFill patternType="solid">
        <fgColor rgb="FF81D41A"/>
        <bgColor rgb="FFB2B2B2"/>
      </patternFill>
    </fill>
    <fill>
      <patternFill patternType="solid">
        <fgColor rgb="FF999999"/>
        <bgColor rgb="FFB2B2B2"/>
      </patternFill>
    </fill>
    <fill>
      <patternFill patternType="solid">
        <fgColor rgb="FFFF4000"/>
        <bgColor rgb="FFFF0000"/>
      </patternFill>
    </fill>
    <fill>
      <patternFill patternType="solid">
        <fgColor rgb="FFB2B2B2"/>
        <bgColor rgb="FF999999"/>
      </patternFill>
    </fill>
    <fill>
      <patternFill patternType="solid">
        <fgColor rgb="FF2A6099"/>
        <bgColor rgb="FF3366FF"/>
      </patternFill>
    </fill>
    <fill>
      <patternFill patternType="solid">
        <fgColor rgb="FF00A933"/>
        <bgColor rgb="FF008000"/>
      </patternFill>
    </fill>
  </fills>
  <borders count="9">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88">
    <xf numFmtId="0" fontId="0" fillId="0" borderId="0" xfId="0"/>
    <xf numFmtId="0" fontId="3" fillId="0" borderId="0" xfId="0" applyFont="1" applyAlignment="1">
      <alignment horizontal="center" wrapText="1"/>
    </xf>
    <xf numFmtId="0" fontId="0" fillId="2" borderId="0" xfId="0" applyFill="1"/>
    <xf numFmtId="10" fontId="0" fillId="0" borderId="0" xfId="0" applyNumberFormat="1"/>
    <xf numFmtId="164" fontId="0" fillId="0" borderId="0" xfId="0" applyNumberFormat="1" applyAlignment="1">
      <alignment horizontal="center"/>
    </xf>
    <xf numFmtId="0" fontId="1" fillId="0" borderId="0" xfId="0" applyFont="1"/>
    <xf numFmtId="0" fontId="2" fillId="0" borderId="0" xfId="0" applyFont="1"/>
    <xf numFmtId="0" fontId="3" fillId="0" borderId="0" xfId="0" applyFont="1" applyAlignment="1">
      <alignment horizontal="center" textRotation="90"/>
    </xf>
    <xf numFmtId="0" fontId="2" fillId="0" borderId="1" xfId="0" applyFont="1" applyBorder="1"/>
    <xf numFmtId="165" fontId="0" fillId="0" borderId="0" xfId="0" applyNumberFormat="1"/>
    <xf numFmtId="0" fontId="4" fillId="0" borderId="0" xfId="0" applyFont="1"/>
    <xf numFmtId="0" fontId="0" fillId="3" borderId="0" xfId="0" applyFill="1"/>
    <xf numFmtId="0" fontId="0" fillId="4" borderId="0" xfId="0" applyFill="1"/>
    <xf numFmtId="164" fontId="0" fillId="5" borderId="0" xfId="0" applyNumberFormat="1" applyFill="1" applyAlignment="1">
      <alignment horizontal="center"/>
    </xf>
    <xf numFmtId="0" fontId="0" fillId="5" borderId="0" xfId="0" applyFill="1"/>
    <xf numFmtId="2" fontId="5" fillId="6" borderId="0" xfId="0" applyNumberFormat="1" applyFont="1" applyFill="1"/>
    <xf numFmtId="2" fontId="0" fillId="0" borderId="0" xfId="0" applyNumberFormat="1" applyAlignment="1">
      <alignment horizontal="center"/>
    </xf>
    <xf numFmtId="2" fontId="0" fillId="0" borderId="0" xfId="0" applyNumberFormat="1" applyAlignment="1">
      <alignment horizontal="left"/>
    </xf>
    <xf numFmtId="165" fontId="0" fillId="0" borderId="0" xfId="0" applyNumberFormat="1" applyAlignment="1">
      <alignment horizontal="center"/>
    </xf>
    <xf numFmtId="0" fontId="0" fillId="0" borderId="0" xfId="0" applyAlignment="1">
      <alignment wrapText="1"/>
    </xf>
    <xf numFmtId="2" fontId="0" fillId="2" borderId="0" xfId="0" applyNumberFormat="1" applyFill="1"/>
    <xf numFmtId="2" fontId="0" fillId="7" borderId="0" xfId="0" applyNumberFormat="1" applyFill="1"/>
    <xf numFmtId="0" fontId="0" fillId="0" borderId="0" xfId="0" applyAlignment="1">
      <alignment horizontal="center"/>
    </xf>
    <xf numFmtId="166" fontId="0" fillId="0" borderId="2" xfId="0" applyNumberFormat="1" applyBorder="1"/>
    <xf numFmtId="0" fontId="0" fillId="8" borderId="0" xfId="0" applyFill="1"/>
    <xf numFmtId="2" fontId="0" fillId="6" borderId="0" xfId="0" applyNumberFormat="1" applyFill="1"/>
    <xf numFmtId="2" fontId="0" fillId="9" borderId="0" xfId="0" applyNumberFormat="1" applyFill="1" applyAlignment="1">
      <alignment horizontal="center"/>
    </xf>
    <xf numFmtId="2" fontId="0" fillId="7" borderId="0" xfId="0" applyNumberFormat="1" applyFill="1" applyAlignment="1">
      <alignment horizontal="center"/>
    </xf>
    <xf numFmtId="2" fontId="0" fillId="6" borderId="0" xfId="0" applyNumberFormat="1" applyFill="1" applyAlignment="1">
      <alignment horizontal="center"/>
    </xf>
    <xf numFmtId="0" fontId="0" fillId="0" borderId="1" xfId="0" applyBorder="1"/>
    <xf numFmtId="0" fontId="0" fillId="10" borderId="0" xfId="0" applyFill="1"/>
    <xf numFmtId="164" fontId="0" fillId="11" borderId="0" xfId="0" applyNumberFormat="1" applyFill="1"/>
    <xf numFmtId="0" fontId="0" fillId="11" borderId="0" xfId="0" applyFill="1"/>
    <xf numFmtId="0" fontId="0" fillId="7" borderId="0" xfId="0" applyFill="1"/>
    <xf numFmtId="167" fontId="0" fillId="0" borderId="0" xfId="0" applyNumberFormat="1"/>
    <xf numFmtId="2" fontId="0" fillId="0" borderId="0" xfId="0" applyNumberFormat="1"/>
    <xf numFmtId="167" fontId="0" fillId="7" borderId="0" xfId="0" applyNumberFormat="1" applyFill="1"/>
    <xf numFmtId="168" fontId="0" fillId="7" borderId="0" xfId="0" applyNumberFormat="1" applyFill="1"/>
    <xf numFmtId="0" fontId="6" fillId="0" borderId="0" xfId="0" applyFont="1" applyAlignment="1">
      <alignment wrapText="1"/>
    </xf>
    <xf numFmtId="166" fontId="0" fillId="9" borderId="0" xfId="0" applyNumberFormat="1" applyFill="1"/>
    <xf numFmtId="0" fontId="0" fillId="0" borderId="3" xfId="0" applyBorder="1"/>
    <xf numFmtId="166" fontId="0" fillId="0" borderId="3" xfId="0" applyNumberFormat="1" applyBorder="1"/>
    <xf numFmtId="166" fontId="0" fillId="7" borderId="0" xfId="0" applyNumberFormat="1" applyFill="1"/>
    <xf numFmtId="2" fontId="0" fillId="12" borderId="0" xfId="0" applyNumberFormat="1" applyFill="1" applyAlignment="1">
      <alignment horizontal="center"/>
    </xf>
    <xf numFmtId="0" fontId="3" fillId="0" borderId="1" xfId="0" applyFont="1" applyBorder="1" applyAlignment="1">
      <alignment horizontal="right"/>
    </xf>
    <xf numFmtId="0" fontId="3" fillId="0" borderId="1" xfId="0" applyFont="1" applyBorder="1"/>
    <xf numFmtId="0" fontId="3" fillId="0" borderId="1" xfId="0" applyFont="1" applyBorder="1" applyAlignment="1">
      <alignment horizontal="center"/>
    </xf>
    <xf numFmtId="0" fontId="0" fillId="0" borderId="0" xfId="0" applyAlignment="1">
      <alignment horizontal="right"/>
    </xf>
    <xf numFmtId="0" fontId="7" fillId="0" borderId="0" xfId="0" applyFont="1"/>
    <xf numFmtId="166" fontId="5" fillId="6" borderId="0" xfId="0" applyNumberFormat="1" applyFont="1" applyFill="1"/>
    <xf numFmtId="1" fontId="0" fillId="0" borderId="0" xfId="0" applyNumberFormat="1" applyAlignment="1">
      <alignment horizontal="center"/>
    </xf>
    <xf numFmtId="166" fontId="0" fillId="0" borderId="0" xfId="0" applyNumberFormat="1" applyAlignment="1">
      <alignment horizontal="center"/>
    </xf>
    <xf numFmtId="0" fontId="3" fillId="0" borderId="2" xfId="0" applyFont="1" applyBorder="1" applyAlignment="1">
      <alignment horizontal="center"/>
    </xf>
    <xf numFmtId="1" fontId="3" fillId="0" borderId="2" xfId="0" applyNumberFormat="1" applyFont="1" applyBorder="1" applyAlignment="1">
      <alignment horizontal="center"/>
    </xf>
    <xf numFmtId="0" fontId="2" fillId="0" borderId="0" xfId="0" applyFont="1" applyAlignment="1">
      <alignment wrapText="1"/>
    </xf>
    <xf numFmtId="0" fontId="3" fillId="0" borderId="1" xfId="0" applyFont="1" applyBorder="1" applyAlignment="1">
      <alignment wrapText="1"/>
    </xf>
    <xf numFmtId="0" fontId="3" fillId="0" borderId="1" xfId="0" applyFont="1" applyBorder="1" applyAlignment="1">
      <alignment horizontal="center" wrapText="1"/>
    </xf>
    <xf numFmtId="0" fontId="8" fillId="0" borderId="0" xfId="0" applyFont="1"/>
    <xf numFmtId="0" fontId="6" fillId="0" borderId="0" xfId="0" applyFont="1" applyAlignment="1">
      <alignment horizontal="center" wrapText="1"/>
    </xf>
    <xf numFmtId="167" fontId="6" fillId="0" borderId="0" xfId="0" applyNumberFormat="1" applyFont="1" applyAlignment="1">
      <alignment horizontal="center" wrapText="1"/>
    </xf>
    <xf numFmtId="166" fontId="6" fillId="0" borderId="0" xfId="0" applyNumberFormat="1" applyFont="1" applyAlignment="1">
      <alignment horizontal="center" wrapText="1"/>
    </xf>
    <xf numFmtId="168" fontId="0" fillId="0" borderId="0" xfId="0" applyNumberFormat="1" applyAlignment="1">
      <alignment horizontal="center"/>
    </xf>
    <xf numFmtId="167" fontId="0" fillId="0" borderId="0" xfId="0" applyNumberFormat="1" applyAlignment="1">
      <alignment horizontal="center"/>
    </xf>
    <xf numFmtId="0" fontId="0" fillId="0" borderId="2" xfId="0" applyBorder="1"/>
    <xf numFmtId="0" fontId="3" fillId="0" borderId="3" xfId="0" applyFont="1" applyBorder="1" applyAlignment="1">
      <alignment horizontal="center"/>
    </xf>
    <xf numFmtId="1" fontId="3" fillId="0" borderId="3" xfId="0" applyNumberFormat="1" applyFont="1" applyBorder="1" applyAlignment="1">
      <alignment horizontal="center"/>
    </xf>
    <xf numFmtId="0" fontId="9" fillId="0" borderId="1" xfId="0" applyFont="1" applyBorder="1" applyAlignment="1">
      <alignment wrapText="1"/>
    </xf>
    <xf numFmtId="0" fontId="10" fillId="0" borderId="0" xfId="0" applyFont="1" applyAlignment="1">
      <alignment wrapText="1"/>
    </xf>
    <xf numFmtId="0" fontId="10" fillId="0" borderId="4" xfId="0" applyFont="1" applyBorder="1" applyAlignment="1">
      <alignment wrapText="1"/>
    </xf>
    <xf numFmtId="166" fontId="10" fillId="0" borderId="5" xfId="0" applyNumberFormat="1" applyFont="1" applyBorder="1" applyAlignment="1">
      <alignment wrapText="1"/>
    </xf>
    <xf numFmtId="0" fontId="10" fillId="0" borderId="5" xfId="0" applyFont="1" applyBorder="1" applyAlignment="1">
      <alignment wrapText="1"/>
    </xf>
    <xf numFmtId="0" fontId="10" fillId="0" borderId="6" xfId="0" applyFont="1" applyBorder="1" applyAlignment="1">
      <alignment wrapText="1"/>
    </xf>
    <xf numFmtId="0" fontId="10" fillId="0" borderId="7" xfId="0" applyFont="1" applyBorder="1" applyAlignment="1">
      <alignment wrapText="1"/>
    </xf>
    <xf numFmtId="0" fontId="10" fillId="0" borderId="8" xfId="0" applyFont="1" applyBorder="1" applyAlignment="1">
      <alignment wrapText="1"/>
    </xf>
    <xf numFmtId="166" fontId="0" fillId="0" borderId="0" xfId="0" applyNumberFormat="1"/>
    <xf numFmtId="169" fontId="0" fillId="0" borderId="0" xfId="0" applyNumberFormat="1"/>
    <xf numFmtId="168" fontId="0" fillId="0" borderId="0" xfId="0" applyNumberFormat="1"/>
    <xf numFmtId="165" fontId="2" fillId="0" borderId="0" xfId="0" applyNumberFormat="1" applyFont="1"/>
    <xf numFmtId="168" fontId="2" fillId="0" borderId="0" xfId="0" applyNumberFormat="1" applyFont="1"/>
    <xf numFmtId="0" fontId="0" fillId="0" borderId="0" xfId="0" applyAlignment="1">
      <alignment horizontal="left"/>
    </xf>
    <xf numFmtId="11" fontId="0" fillId="0" borderId="0" xfId="0" applyNumberFormat="1"/>
    <xf numFmtId="2" fontId="2" fillId="0" borderId="0" xfId="0" applyNumberFormat="1" applyFont="1"/>
    <xf numFmtId="11" fontId="2" fillId="0" borderId="0" xfId="0" applyNumberFormat="1" applyFont="1"/>
    <xf numFmtId="166" fontId="2" fillId="0" borderId="0" xfId="0" applyNumberFormat="1" applyFont="1"/>
    <xf numFmtId="167" fontId="2" fillId="0" borderId="0" xfId="0" applyNumberFormat="1" applyFont="1"/>
    <xf numFmtId="0" fontId="3" fillId="0" borderId="0" xfId="0" applyFont="1" applyAlignment="1">
      <alignment horizontal="right"/>
    </xf>
    <xf numFmtId="0" fontId="0" fillId="0" borderId="1" xfId="0" applyBorder="1" applyAlignment="1">
      <alignment horizontal="center"/>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729FC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4000"/>
      <rgbColor rgb="FF6B5E9B"/>
      <rgbColor rgb="FF999999"/>
      <rgbColor rgb="FF003366"/>
      <rgbColor rgb="FF00A933"/>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128"/>
  <sheetViews>
    <sheetView tabSelected="1" topLeftCell="B44" zoomScale="121" zoomScaleNormal="80" workbookViewId="0">
      <selection activeCell="I68" sqref="I68"/>
    </sheetView>
  </sheetViews>
  <sheetFormatPr defaultColWidth="11.5703125" defaultRowHeight="12.75" x14ac:dyDescent="0.2"/>
  <cols>
    <col min="1" max="1" width="26.5703125" customWidth="1"/>
    <col min="2" max="2" width="23.85546875" customWidth="1"/>
    <col min="3" max="3" width="23.28515625" customWidth="1"/>
    <col min="4" max="4" width="14.5703125" customWidth="1"/>
    <col min="5" max="5" width="13" customWidth="1"/>
    <col min="6" max="6" width="21.140625" customWidth="1"/>
    <col min="7" max="7" width="14.7109375" customWidth="1"/>
    <col min="17" max="17" width="52" customWidth="1"/>
    <col min="19" max="19" width="17.42578125" customWidth="1"/>
    <col min="20" max="20" width="18.28515625" customWidth="1"/>
    <col min="22" max="22" width="23.85546875" customWidth="1"/>
    <col min="30" max="30" width="12.85546875" customWidth="1"/>
    <col min="31" max="31" width="18.5703125" customWidth="1"/>
    <col min="32" max="32" width="34.5703125" customWidth="1"/>
    <col min="33" max="33" width="20" customWidth="1"/>
    <col min="34" max="36" width="22.5703125" customWidth="1"/>
    <col min="37" max="37" width="73.5703125" customWidth="1"/>
    <col min="38" max="38" width="58.140625" customWidth="1"/>
  </cols>
  <sheetData>
    <row r="2" spans="1:37" x14ac:dyDescent="0.2">
      <c r="Q2" s="2" t="s">
        <v>0</v>
      </c>
      <c r="R2" s="3">
        <v>0.1</v>
      </c>
      <c r="U2" s="4">
        <v>3.0438900000000001E-3</v>
      </c>
    </row>
    <row r="4" spans="1:37" ht="19.7" customHeight="1" x14ac:dyDescent="0.3">
      <c r="A4" s="5" t="s">
        <v>1</v>
      </c>
      <c r="F4" s="6" t="s">
        <v>2</v>
      </c>
      <c r="G4">
        <v>0.6</v>
      </c>
      <c r="Y4" s="87" t="s">
        <v>3</v>
      </c>
      <c r="Z4" s="87"/>
      <c r="AA4" s="87"/>
      <c r="AB4" s="87"/>
      <c r="AC4" s="87"/>
      <c r="AD4" s="1"/>
      <c r="AE4" s="1"/>
      <c r="AF4" s="1"/>
      <c r="AG4" s="1"/>
      <c r="AH4" s="1"/>
      <c r="AI4" s="1"/>
      <c r="AJ4" s="1"/>
    </row>
    <row r="5" spans="1:37" ht="74.25" x14ac:dyDescent="0.25">
      <c r="A5" s="6" t="s">
        <v>4</v>
      </c>
      <c r="B5" s="6">
        <v>800</v>
      </c>
      <c r="C5" s="6" t="s">
        <v>5</v>
      </c>
      <c r="F5" t="s">
        <v>6</v>
      </c>
      <c r="G5">
        <f>G4*0.3</f>
        <v>0.18</v>
      </c>
      <c r="H5">
        <f>G5*F26/1000</f>
        <v>0.57354543000000002</v>
      </c>
      <c r="Q5" s="6" t="s">
        <v>7</v>
      </c>
      <c r="R5" s="6" t="s">
        <v>8</v>
      </c>
      <c r="S5" s="6"/>
      <c r="T5" s="6"/>
      <c r="U5" s="6" t="s">
        <v>9</v>
      </c>
      <c r="V5" s="6"/>
      <c r="W5" s="6" t="s">
        <v>10</v>
      </c>
      <c r="Y5" s="7" t="s">
        <v>11</v>
      </c>
      <c r="Z5" s="7" t="s">
        <v>12</v>
      </c>
      <c r="AA5" s="7" t="s">
        <v>13</v>
      </c>
      <c r="AB5" s="7" t="s">
        <v>14</v>
      </c>
      <c r="AC5" s="7" t="s">
        <v>15</v>
      </c>
      <c r="AD5" s="7"/>
      <c r="AE5" s="7"/>
      <c r="AF5" s="7"/>
      <c r="AG5" s="1" t="s">
        <v>16</v>
      </c>
      <c r="AH5" s="1" t="s">
        <v>17</v>
      </c>
      <c r="AI5" s="1" t="s">
        <v>18</v>
      </c>
      <c r="AJ5" s="1" t="s">
        <v>19</v>
      </c>
    </row>
    <row r="6" spans="1:37" x14ac:dyDescent="0.2">
      <c r="A6" s="8" t="s">
        <v>20</v>
      </c>
      <c r="B6" s="8" t="s">
        <v>21</v>
      </c>
      <c r="C6" s="8" t="s">
        <v>22</v>
      </c>
      <c r="F6" t="s">
        <v>23</v>
      </c>
      <c r="G6">
        <f>0.4*G4</f>
        <v>0.24</v>
      </c>
      <c r="H6">
        <f>G6 *F25/1000</f>
        <v>0.47759999999999997</v>
      </c>
      <c r="I6" s="8" t="s">
        <v>24</v>
      </c>
      <c r="Q6" s="8" t="s">
        <v>20</v>
      </c>
      <c r="R6" s="8" t="s">
        <v>25</v>
      </c>
      <c r="S6" s="8" t="s">
        <v>26</v>
      </c>
      <c r="T6" s="8" t="s">
        <v>27</v>
      </c>
      <c r="U6" s="8" t="s">
        <v>26</v>
      </c>
      <c r="V6" s="8" t="s">
        <v>27</v>
      </c>
      <c r="W6" t="s">
        <v>26</v>
      </c>
      <c r="X6" t="s">
        <v>27</v>
      </c>
      <c r="AF6" s="6" t="s">
        <v>28</v>
      </c>
      <c r="AJ6" t="s">
        <v>19</v>
      </c>
    </row>
    <row r="7" spans="1:37" ht="25.5" x14ac:dyDescent="0.2">
      <c r="A7" t="s">
        <v>23</v>
      </c>
      <c r="B7" s="9">
        <f t="shared" ref="B7:B12" si="0">(C7/$C$13)*100</f>
        <v>42.73881472013526</v>
      </c>
      <c r="C7" s="9">
        <f>($B$5 - SUM(C8:C12))*1.1</f>
        <v>355.73193717277479</v>
      </c>
      <c r="E7">
        <f>1990*C7 /1000</f>
        <v>707.90655497382181</v>
      </c>
      <c r="F7" t="s">
        <v>29</v>
      </c>
      <c r="G7">
        <f>G4*0.3</f>
        <v>0.18</v>
      </c>
      <c r="H7">
        <f>F27 * G7/1000</f>
        <v>0.77495520600000001</v>
      </c>
      <c r="I7" s="10" t="s">
        <v>30</v>
      </c>
      <c r="Q7" t="str">
        <f t="shared" ref="Q7:Q12" si="1">A7</f>
        <v>Aluminium</v>
      </c>
      <c r="R7" s="11">
        <v>355.7</v>
      </c>
      <c r="S7" s="12">
        <f t="shared" ref="S7:S12" si="2">R7*(1-$R$2)</f>
        <v>320.13</v>
      </c>
      <c r="T7" s="12">
        <f t="shared" ref="T7:T12" si="3">R7*(1+$R$2)</f>
        <v>391.27000000000004</v>
      </c>
      <c r="U7" s="13">
        <v>2.9169500000000002E-3</v>
      </c>
      <c r="V7" s="14">
        <v>3.17739E-3</v>
      </c>
      <c r="W7" s="15">
        <f t="shared" ref="W7:X12" si="4">(U7-$U$2)/$U$2 *100</f>
        <v>-4.1703215293588096</v>
      </c>
      <c r="X7" s="15">
        <f t="shared" si="4"/>
        <v>4.385835230576661</v>
      </c>
      <c r="Y7">
        <v>2</v>
      </c>
      <c r="Z7">
        <v>2</v>
      </c>
      <c r="AA7">
        <v>1</v>
      </c>
      <c r="AB7">
        <v>2</v>
      </c>
      <c r="AC7">
        <v>1</v>
      </c>
      <c r="AD7" s="16">
        <v>1.49</v>
      </c>
      <c r="AE7" s="16"/>
      <c r="AF7" s="17" t="str">
        <f t="shared" ref="AF7:AF12" si="5">Q7</f>
        <v>Aluminium</v>
      </c>
      <c r="AG7" s="16" t="str">
        <f t="shared" ref="AG7:AG12" si="6">_xlfn.CONCAT(Y7,",",Z7,",",AA7,",",AB7,",",AC7)</f>
        <v>2,2,1,2,1</v>
      </c>
      <c r="AH7" s="16">
        <f t="shared" ref="AH7:AH12" si="7">AD7</f>
        <v>1.49</v>
      </c>
      <c r="AI7" s="18">
        <f t="shared" ref="AI7:AI12" si="8">MAX(ABS(W7), X7)</f>
        <v>4.385835230576661</v>
      </c>
      <c r="AJ7" s="16">
        <f t="shared" ref="AJ7:AJ12" si="9">AH7*AI7</f>
        <v>6.534894493559225</v>
      </c>
      <c r="AK7" s="19" t="s">
        <v>31</v>
      </c>
    </row>
    <row r="8" spans="1:37" ht="25.5" x14ac:dyDescent="0.2">
      <c r="A8" t="s">
        <v>32</v>
      </c>
      <c r="B8" s="9">
        <f t="shared" si="0"/>
        <v>25.109953150396798</v>
      </c>
      <c r="C8" s="9">
        <f>(190*1.1)</f>
        <v>209.00000000000003</v>
      </c>
      <c r="H8">
        <f>SUM(H5:H7)</f>
        <v>1.8261006360000001</v>
      </c>
      <c r="I8" s="10" t="s">
        <v>33</v>
      </c>
      <c r="Q8" t="str">
        <f t="shared" si="1"/>
        <v>Mild steel</v>
      </c>
      <c r="R8" s="11">
        <v>209</v>
      </c>
      <c r="S8" s="12">
        <f t="shared" si="2"/>
        <v>188.1</v>
      </c>
      <c r="T8" s="12">
        <f t="shared" si="3"/>
        <v>229.9</v>
      </c>
      <c r="U8" s="13">
        <v>3.0117799999999999E-3</v>
      </c>
      <c r="V8" s="13">
        <v>3.0910400000000002E-3</v>
      </c>
      <c r="W8" s="20">
        <f t="shared" si="4"/>
        <v>-1.0549001442233499</v>
      </c>
      <c r="X8" s="20">
        <f t="shared" si="4"/>
        <v>1.5490047275032983</v>
      </c>
      <c r="Y8">
        <v>1</v>
      </c>
      <c r="Z8">
        <v>2</v>
      </c>
      <c r="AA8">
        <v>1</v>
      </c>
      <c r="AB8">
        <v>5</v>
      </c>
      <c r="AC8">
        <v>1</v>
      </c>
      <c r="AD8" s="16">
        <v>1.62</v>
      </c>
      <c r="AE8" s="16"/>
      <c r="AF8" s="17" t="str">
        <f t="shared" si="5"/>
        <v>Mild steel</v>
      </c>
      <c r="AG8" s="16" t="str">
        <f t="shared" si="6"/>
        <v>1,2,1,5,1</v>
      </c>
      <c r="AH8" s="16">
        <f t="shared" si="7"/>
        <v>1.62</v>
      </c>
      <c r="AI8" s="18">
        <f t="shared" si="8"/>
        <v>1.5490047275032983</v>
      </c>
      <c r="AJ8" s="16">
        <f t="shared" si="9"/>
        <v>2.5093876585553434</v>
      </c>
      <c r="AK8" s="19" t="s">
        <v>34</v>
      </c>
    </row>
    <row r="9" spans="1:37" x14ac:dyDescent="0.2">
      <c r="A9" t="s">
        <v>29</v>
      </c>
      <c r="B9" s="9">
        <f t="shared" si="0"/>
        <v>9.0116293698199996</v>
      </c>
      <c r="C9" s="9">
        <f>(G11*$B$5 + G12)*1.1</f>
        <v>75.007329842931938</v>
      </c>
      <c r="I9" s="10" t="s">
        <v>35</v>
      </c>
      <c r="Q9" t="str">
        <f t="shared" si="1"/>
        <v>Copper</v>
      </c>
      <c r="R9" s="11">
        <v>75</v>
      </c>
      <c r="S9" s="12">
        <f t="shared" si="2"/>
        <v>67.5</v>
      </c>
      <c r="T9" s="12">
        <f t="shared" si="3"/>
        <v>82.5</v>
      </c>
      <c r="U9" s="14">
        <v>3.0072200000000001E-3</v>
      </c>
      <c r="V9" s="14">
        <v>3.0879000000000002E-3</v>
      </c>
      <c r="W9" s="20">
        <f t="shared" si="4"/>
        <v>-1.2047084487284341</v>
      </c>
      <c r="X9" s="20">
        <f t="shared" si="4"/>
        <v>1.4458472546642664</v>
      </c>
      <c r="Y9">
        <v>4</v>
      </c>
      <c r="Z9">
        <v>2</v>
      </c>
      <c r="AA9">
        <v>1</v>
      </c>
      <c r="AB9">
        <v>5</v>
      </c>
      <c r="AC9">
        <v>1</v>
      </c>
      <c r="AD9" s="16">
        <v>2.16</v>
      </c>
      <c r="AE9" s="16"/>
      <c r="AF9" s="17" t="str">
        <f t="shared" si="5"/>
        <v>Copper</v>
      </c>
      <c r="AG9" s="16" t="str">
        <f t="shared" si="6"/>
        <v>4,2,1,5,1</v>
      </c>
      <c r="AH9" s="16">
        <f t="shared" si="7"/>
        <v>2.16</v>
      </c>
      <c r="AI9" s="18">
        <f t="shared" si="8"/>
        <v>1.4458472546642664</v>
      </c>
      <c r="AJ9" s="16">
        <f t="shared" si="9"/>
        <v>3.1230300700748157</v>
      </c>
      <c r="AK9" s="19" t="s">
        <v>36</v>
      </c>
    </row>
    <row r="10" spans="1:37" x14ac:dyDescent="0.2">
      <c r="A10" t="s">
        <v>37</v>
      </c>
      <c r="B10" s="9">
        <f t="shared" si="0"/>
        <v>11.533758384871254</v>
      </c>
      <c r="C10" s="9">
        <f>96</f>
        <v>96</v>
      </c>
      <c r="I10" s="10" t="s">
        <v>38</v>
      </c>
      <c r="Q10" t="str">
        <f t="shared" si="1"/>
        <v>Battery</v>
      </c>
      <c r="R10" s="11">
        <v>96</v>
      </c>
      <c r="S10" s="12">
        <f t="shared" si="2"/>
        <v>86.4</v>
      </c>
      <c r="T10" s="12">
        <f t="shared" si="3"/>
        <v>105.60000000000001</v>
      </c>
      <c r="U10" s="14">
        <v>2.9434800000000001E-3</v>
      </c>
      <c r="V10" s="14">
        <v>3.1594399999999999E-3</v>
      </c>
      <c r="W10" s="15">
        <f t="shared" si="4"/>
        <v>-3.2987394419640652</v>
      </c>
      <c r="X10" s="15">
        <f t="shared" si="4"/>
        <v>3.7961292950796461</v>
      </c>
      <c r="Y10">
        <v>1</v>
      </c>
      <c r="Z10">
        <v>2</v>
      </c>
      <c r="AA10">
        <v>1</v>
      </c>
      <c r="AB10">
        <v>5</v>
      </c>
      <c r="AC10">
        <v>1</v>
      </c>
      <c r="AD10" s="16">
        <v>1.62</v>
      </c>
      <c r="AE10" s="16"/>
      <c r="AF10" s="17" t="str">
        <f t="shared" si="5"/>
        <v>Battery</v>
      </c>
      <c r="AG10" s="16" t="str">
        <f t="shared" si="6"/>
        <v>1,2,1,5,1</v>
      </c>
      <c r="AH10" s="16">
        <f t="shared" si="7"/>
        <v>1.62</v>
      </c>
      <c r="AI10" s="18">
        <f t="shared" si="8"/>
        <v>3.7961292950796461</v>
      </c>
      <c r="AJ10" s="16">
        <f t="shared" si="9"/>
        <v>6.1497294580290269</v>
      </c>
      <c r="AK10" s="19" t="s">
        <v>39</v>
      </c>
    </row>
    <row r="11" spans="1:37" x14ac:dyDescent="0.2">
      <c r="A11" t="s">
        <v>40</v>
      </c>
      <c r="B11" s="9">
        <f t="shared" si="0"/>
        <v>5.35839191630477</v>
      </c>
      <c r="C11" s="9">
        <f>44.6</f>
        <v>44.6</v>
      </c>
      <c r="F11" s="6" t="s">
        <v>41</v>
      </c>
      <c r="G11" s="3">
        <v>0.08</v>
      </c>
      <c r="H11">
        <f>G11*2*B5*F27/1000</f>
        <v>551.07925760000001</v>
      </c>
      <c r="I11" s="10" t="s">
        <v>42</v>
      </c>
      <c r="Q11" t="str">
        <f t="shared" si="1"/>
        <v>Cast iron</v>
      </c>
      <c r="R11" s="11">
        <v>44.6</v>
      </c>
      <c r="S11" s="12">
        <f t="shared" si="2"/>
        <v>40.14</v>
      </c>
      <c r="T11" s="12">
        <f t="shared" si="3"/>
        <v>49.06</v>
      </c>
      <c r="U11" s="14">
        <v>3.0559200000000002E-3</v>
      </c>
      <c r="V11" s="14">
        <v>3.0325999999999999E-3</v>
      </c>
      <c r="W11" s="21">
        <f t="shared" si="4"/>
        <v>0.39521796122724917</v>
      </c>
      <c r="X11" s="21">
        <f t="shared" si="4"/>
        <v>-0.37090696444353016</v>
      </c>
      <c r="Y11">
        <v>4</v>
      </c>
      <c r="Z11">
        <v>2</v>
      </c>
      <c r="AA11">
        <v>1</v>
      </c>
      <c r="AB11">
        <v>5</v>
      </c>
      <c r="AC11">
        <v>1</v>
      </c>
      <c r="AD11" s="16">
        <v>1.62</v>
      </c>
      <c r="AE11" s="16"/>
      <c r="AF11" s="17" t="str">
        <f t="shared" si="5"/>
        <v>Cast iron</v>
      </c>
      <c r="AG11" s="16" t="str">
        <f t="shared" si="6"/>
        <v>4,2,1,5,1</v>
      </c>
      <c r="AH11" s="16">
        <f t="shared" si="7"/>
        <v>1.62</v>
      </c>
      <c r="AI11" s="18">
        <f t="shared" si="8"/>
        <v>0.39521796122724917</v>
      </c>
      <c r="AJ11" s="16">
        <f t="shared" si="9"/>
        <v>0.64025309718814372</v>
      </c>
      <c r="AK11" s="19" t="s">
        <v>36</v>
      </c>
    </row>
    <row r="12" spans="1:37" x14ac:dyDescent="0.2">
      <c r="A12" t="s">
        <v>43</v>
      </c>
      <c r="B12" s="9">
        <f t="shared" si="0"/>
        <v>6.2474524584719289</v>
      </c>
      <c r="C12" s="9">
        <f>13*$B$82</f>
        <v>52</v>
      </c>
      <c r="F12" t="s">
        <v>44</v>
      </c>
      <c r="G12">
        <f>24*(1/5.73)</f>
        <v>4.1884816753926701</v>
      </c>
      <c r="H12">
        <f>F27*G12/1000</f>
        <v>18.032698219895288</v>
      </c>
      <c r="I12" s="10" t="s">
        <v>45</v>
      </c>
      <c r="Q12" t="str">
        <f t="shared" si="1"/>
        <v>Tyre</v>
      </c>
      <c r="R12" s="11">
        <v>52</v>
      </c>
      <c r="S12" s="12">
        <f t="shared" si="2"/>
        <v>46.800000000000004</v>
      </c>
      <c r="T12" s="12">
        <f t="shared" si="3"/>
        <v>57.2</v>
      </c>
      <c r="U12" s="14">
        <v>3.0533299999999999E-3</v>
      </c>
      <c r="V12" s="14">
        <v>3.0120400000000001E-3</v>
      </c>
      <c r="W12" s="21">
        <f t="shared" si="4"/>
        <v>0.31012947248421863</v>
      </c>
      <c r="X12" s="21">
        <f t="shared" si="4"/>
        <v>-1.0463584426506849</v>
      </c>
      <c r="Y12">
        <v>4</v>
      </c>
      <c r="Z12">
        <v>2</v>
      </c>
      <c r="AA12">
        <v>1</v>
      </c>
      <c r="AB12">
        <v>5</v>
      </c>
      <c r="AC12">
        <v>1</v>
      </c>
      <c r="AD12" s="22">
        <v>2.16</v>
      </c>
      <c r="AE12" s="22"/>
      <c r="AF12" s="17" t="str">
        <f t="shared" si="5"/>
        <v>Tyre</v>
      </c>
      <c r="AG12" s="16" t="str">
        <f t="shared" si="6"/>
        <v>4,2,1,5,1</v>
      </c>
      <c r="AH12" s="16">
        <f t="shared" si="7"/>
        <v>2.16</v>
      </c>
      <c r="AI12" s="18">
        <f t="shared" si="8"/>
        <v>0.31012947248421863</v>
      </c>
      <c r="AJ12" s="16">
        <f t="shared" si="9"/>
        <v>0.6698796605659123</v>
      </c>
      <c r="AK12" s="19" t="s">
        <v>36</v>
      </c>
    </row>
    <row r="13" spans="1:37" x14ac:dyDescent="0.2">
      <c r="C13" s="23">
        <f>SUM(C7:C12)</f>
        <v>832.3392670157067</v>
      </c>
      <c r="H13">
        <f>SUM(H11:H12)</f>
        <v>569.11195581989534</v>
      </c>
      <c r="AG13" s="16"/>
      <c r="AH13" s="16"/>
      <c r="AI13" s="18"/>
      <c r="AJ13" s="16"/>
      <c r="AK13" s="19"/>
    </row>
    <row r="14" spans="1:37" x14ac:dyDescent="0.2">
      <c r="AG14" s="16"/>
      <c r="AH14" s="16"/>
      <c r="AI14" s="18"/>
      <c r="AJ14" s="16"/>
      <c r="AK14" s="19"/>
    </row>
    <row r="15" spans="1:37" x14ac:dyDescent="0.2">
      <c r="A15" s="6" t="s">
        <v>46</v>
      </c>
      <c r="F15" s="6" t="s">
        <v>47</v>
      </c>
      <c r="G15">
        <f>0.171*B77</f>
        <v>0.68400000000000005</v>
      </c>
      <c r="Q15" s="6" t="s">
        <v>7</v>
      </c>
      <c r="R15" s="6" t="s">
        <v>8</v>
      </c>
      <c r="S15" s="6"/>
      <c r="T15" s="6"/>
      <c r="U15" s="6" t="s">
        <v>48</v>
      </c>
      <c r="V15" s="6"/>
      <c r="W15" s="6" t="s">
        <v>10</v>
      </c>
      <c r="AG15" s="16"/>
      <c r="AH15" s="16"/>
      <c r="AI15" s="18"/>
      <c r="AJ15" s="16"/>
      <c r="AK15" s="19"/>
    </row>
    <row r="16" spans="1:37" ht="30" x14ac:dyDescent="0.25">
      <c r="A16" s="8" t="s">
        <v>20</v>
      </c>
      <c r="B16" s="8" t="s">
        <v>21</v>
      </c>
      <c r="C16" s="8" t="s">
        <v>22</v>
      </c>
      <c r="F16" t="s">
        <v>49</v>
      </c>
      <c r="G16">
        <f>0.4*G15</f>
        <v>0.27360000000000001</v>
      </c>
      <c r="H16">
        <f>$F$30*G16/1000</f>
        <v>1.7236800000000001</v>
      </c>
      <c r="I16" s="8" t="s">
        <v>24</v>
      </c>
      <c r="Q16" s="8" t="s">
        <v>20</v>
      </c>
      <c r="R16" s="8" t="s">
        <v>25</v>
      </c>
      <c r="S16" s="8" t="s">
        <v>26</v>
      </c>
      <c r="T16" s="8" t="s">
        <v>27</v>
      </c>
      <c r="U16" s="8" t="s">
        <v>26</v>
      </c>
      <c r="V16" s="8" t="s">
        <v>27</v>
      </c>
      <c r="W16" t="s">
        <v>26</v>
      </c>
      <c r="X16" t="s">
        <v>27</v>
      </c>
      <c r="AF16" s="6" t="s">
        <v>50</v>
      </c>
      <c r="AG16" s="1" t="s">
        <v>16</v>
      </c>
      <c r="AH16" s="1" t="s">
        <v>17</v>
      </c>
      <c r="AI16" s="1" t="s">
        <v>18</v>
      </c>
      <c r="AJ16" s="1" t="s">
        <v>19</v>
      </c>
      <c r="AK16" s="19"/>
    </row>
    <row r="17" spans="1:37" ht="25.5" x14ac:dyDescent="0.2">
      <c r="A17" t="s">
        <v>23</v>
      </c>
      <c r="B17" s="9">
        <f>(C17/$C$21)*100</f>
        <v>79.210400457734053</v>
      </c>
      <c r="C17" s="9">
        <f>(B77 * (1.157 + 5.656 + 9.975+12.09) + G6 + 200 )*1.1</f>
        <v>347.32720000000006</v>
      </c>
      <c r="E17">
        <f>F25*C17 * 1/1000</f>
        <v>691.18112800000017</v>
      </c>
      <c r="F17" t="s">
        <v>6</v>
      </c>
      <c r="G17">
        <f>0.6*G15*1.1</f>
        <v>0.45144000000000006</v>
      </c>
      <c r="H17">
        <f>F26*G17/1000</f>
        <v>1.4384519384400003</v>
      </c>
      <c r="I17" s="10" t="s">
        <v>51</v>
      </c>
      <c r="Q17" t="str">
        <f>A17</f>
        <v>Aluminium</v>
      </c>
      <c r="R17" s="24">
        <v>347.3</v>
      </c>
      <c r="S17" s="12">
        <f>R17*(1-$R$2)</f>
        <v>312.57</v>
      </c>
      <c r="T17" s="12">
        <f>S17*(1+$R$2)</f>
        <v>343.827</v>
      </c>
      <c r="U17" s="13">
        <v>2.9198800000000001E-3</v>
      </c>
      <c r="V17" s="14">
        <v>3.1741600000000001E-3</v>
      </c>
      <c r="W17" s="25">
        <f t="shared" ref="W17:X20" si="10">(U17-$U$2)/$U$2 *100</f>
        <v>-4.0740631231746187</v>
      </c>
      <c r="X17" s="25">
        <f t="shared" si="10"/>
        <v>4.2797210148855589</v>
      </c>
      <c r="Y17">
        <v>3</v>
      </c>
      <c r="Z17">
        <v>2</v>
      </c>
      <c r="AA17">
        <v>1</v>
      </c>
      <c r="AB17">
        <v>2</v>
      </c>
      <c r="AC17">
        <v>1</v>
      </c>
      <c r="AD17" s="16">
        <v>1.65</v>
      </c>
      <c r="AF17" t="str">
        <f>Q17</f>
        <v>Aluminium</v>
      </c>
      <c r="AG17" s="16" t="str">
        <f>_xlfn.CONCAT(Y17,",",Z17,",",AA17,",",AB17,",",AC17)</f>
        <v>3,2,1,2,1</v>
      </c>
      <c r="AH17" s="16">
        <f>AD17</f>
        <v>1.65</v>
      </c>
      <c r="AI17" s="18">
        <f>MAX(ABS(W17), X17)</f>
        <v>4.2797210148855589</v>
      </c>
      <c r="AJ17" s="26">
        <f>AH17*AI17</f>
        <v>7.061539674561172</v>
      </c>
      <c r="AK17" s="19" t="s">
        <v>196</v>
      </c>
    </row>
    <row r="18" spans="1:37" ht="25.5" x14ac:dyDescent="0.2">
      <c r="A18" t="s">
        <v>6</v>
      </c>
      <c r="B18" s="9">
        <f>(C18/$C$21)*100</f>
        <v>1.8655062884342613</v>
      </c>
      <c r="C18" s="9">
        <f>(2*4 + G5 )</f>
        <v>8.18</v>
      </c>
      <c r="E18">
        <f>C18*F26*1/1000</f>
        <v>26.064453429999997</v>
      </c>
      <c r="H18">
        <f>SUM(H16:H17)</f>
        <v>3.1621319384400004</v>
      </c>
      <c r="I18" s="10" t="s">
        <v>52</v>
      </c>
      <c r="Q18" t="str">
        <f>A18</f>
        <v>Plastic</v>
      </c>
      <c r="R18" s="24">
        <v>8.1999999999999993</v>
      </c>
      <c r="S18" s="12">
        <f>R18*(1-$R$2)</f>
        <v>7.38</v>
      </c>
      <c r="T18" s="12">
        <f>S18*(1+$R$2)</f>
        <v>8.1180000000000003</v>
      </c>
      <c r="U18" s="14">
        <v>3.0438700000000002E-3</v>
      </c>
      <c r="V18" s="13">
        <v>3.0439099999999999E-3</v>
      </c>
      <c r="W18" s="21">
        <f t="shared" si="10"/>
        <v>-6.5705396712368788E-4</v>
      </c>
      <c r="X18" s="21">
        <f t="shared" si="10"/>
        <v>6.5705396712368788E-4</v>
      </c>
      <c r="Y18">
        <v>5</v>
      </c>
      <c r="Z18">
        <v>5</v>
      </c>
      <c r="AA18">
        <v>2</v>
      </c>
      <c r="AB18">
        <v>5</v>
      </c>
      <c r="AC18">
        <v>2</v>
      </c>
      <c r="AD18" s="16">
        <v>3.57</v>
      </c>
      <c r="AF18" t="str">
        <f>Q18</f>
        <v>Plastic</v>
      </c>
      <c r="AG18" s="16" t="str">
        <f>_xlfn.CONCAT(Y18,",",Z18,",",AA18,",",AB18,",",AC18)</f>
        <v>5,5,2,5,2</v>
      </c>
      <c r="AH18" s="16">
        <f>AD18</f>
        <v>3.57</v>
      </c>
      <c r="AI18" s="18">
        <f>MAX(ABS(W18), X18)</f>
        <v>6.5705396712368788E-4</v>
      </c>
      <c r="AJ18" s="27">
        <f>AH18*AI18</f>
        <v>2.3456826626315655E-3</v>
      </c>
      <c r="AK18" s="19" t="s">
        <v>197</v>
      </c>
    </row>
    <row r="19" spans="1:37" ht="25.5" x14ac:dyDescent="0.2">
      <c r="A19" t="s">
        <v>49</v>
      </c>
      <c r="B19" s="9">
        <f>(C19/$C$21)*100</f>
        <v>6.2396396151053052E-2</v>
      </c>
      <c r="C19" s="9">
        <f>G16</f>
        <v>0.27360000000000001</v>
      </c>
      <c r="E19">
        <f>1.72</f>
        <v>1.72</v>
      </c>
      <c r="F19" s="6" t="s">
        <v>53</v>
      </c>
      <c r="I19" s="10" t="s">
        <v>54</v>
      </c>
      <c r="Q19" t="str">
        <f>A19</f>
        <v>Silicone</v>
      </c>
      <c r="R19" s="24">
        <v>0.3</v>
      </c>
      <c r="S19" s="12">
        <f>R19*(1-$R$2)</f>
        <v>0.27</v>
      </c>
      <c r="T19" s="12">
        <f>S19*(1+$R$2)</f>
        <v>0.29700000000000004</v>
      </c>
      <c r="U19" s="14">
        <v>3.0438900000000001E-3</v>
      </c>
      <c r="V19" s="13">
        <v>3.0438900000000001E-3</v>
      </c>
      <c r="W19" s="21">
        <f t="shared" si="10"/>
        <v>0</v>
      </c>
      <c r="X19" s="21">
        <f t="shared" si="10"/>
        <v>0</v>
      </c>
      <c r="Y19">
        <v>2</v>
      </c>
      <c r="Z19">
        <v>2</v>
      </c>
      <c r="AA19">
        <v>1</v>
      </c>
      <c r="AB19">
        <v>2</v>
      </c>
      <c r="AC19">
        <v>2</v>
      </c>
      <c r="AD19" s="16">
        <v>1.8</v>
      </c>
      <c r="AF19" t="str">
        <f>Q19</f>
        <v>Silicone</v>
      </c>
      <c r="AG19" s="16" t="str">
        <f>_xlfn.CONCAT(Y19,",",Z19,",",AA19,",",AB19,",",AC19)</f>
        <v>2,2,1,2,2</v>
      </c>
      <c r="AH19" s="16">
        <f>AD19</f>
        <v>1.8</v>
      </c>
      <c r="AI19" s="18">
        <f>MAX(ABS(W19), X19)</f>
        <v>0</v>
      </c>
      <c r="AJ19" s="27">
        <f>AH19*AI19</f>
        <v>0</v>
      </c>
      <c r="AK19" s="19" t="s">
        <v>198</v>
      </c>
    </row>
    <row r="20" spans="1:37" x14ac:dyDescent="0.2">
      <c r="A20" t="s">
        <v>29</v>
      </c>
      <c r="B20" s="9">
        <f>(C20/$C$21)*100</f>
        <v>18.861696857680638</v>
      </c>
      <c r="C20" s="9">
        <f>(C9 + G7)*1.1</f>
        <v>82.706062827225139</v>
      </c>
      <c r="E20">
        <f>F27*C20*1/1000</f>
        <v>356.07496642067338</v>
      </c>
      <c r="F20" t="s">
        <v>6</v>
      </c>
      <c r="G20">
        <f>B77*2</f>
        <v>8</v>
      </c>
      <c r="H20">
        <f>G20*F26/1000</f>
        <v>25.490908000000001</v>
      </c>
      <c r="I20" s="10" t="s">
        <v>55</v>
      </c>
      <c r="Q20" t="str">
        <f>A20</f>
        <v>Copper</v>
      </c>
      <c r="R20" s="24">
        <v>82.7</v>
      </c>
      <c r="S20" s="12">
        <f>R20*(1-$R$2)</f>
        <v>74.430000000000007</v>
      </c>
      <c r="T20" s="12">
        <f>S20*(1+$R$2)</f>
        <v>81.873000000000019</v>
      </c>
      <c r="U20" s="14">
        <v>3.00782E-3</v>
      </c>
      <c r="V20" s="13">
        <v>3.0818899999999999E-3</v>
      </c>
      <c r="W20" s="20">
        <f t="shared" si="10"/>
        <v>-1.1849968297146094</v>
      </c>
      <c r="X20" s="20">
        <f t="shared" si="10"/>
        <v>1.2484025375424157</v>
      </c>
      <c r="Y20">
        <v>5</v>
      </c>
      <c r="Z20">
        <v>4</v>
      </c>
      <c r="AA20">
        <v>1</v>
      </c>
      <c r="AB20">
        <v>5</v>
      </c>
      <c r="AC20">
        <v>2</v>
      </c>
      <c r="AD20" s="16">
        <v>3.24</v>
      </c>
      <c r="AF20" t="str">
        <f>Q20</f>
        <v>Copper</v>
      </c>
      <c r="AG20" s="16" t="str">
        <f>_xlfn.CONCAT(Y20,",",Z20,",",AA20,",",AB20,",",AC20)</f>
        <v>5,4,1,5,2</v>
      </c>
      <c r="AH20" s="16">
        <f>AD20</f>
        <v>3.24</v>
      </c>
      <c r="AI20" s="18">
        <f>MAX(ABS(W20), X20)</f>
        <v>1.2484025375424157</v>
      </c>
      <c r="AJ20" s="28">
        <f>AH20*AI20</f>
        <v>4.0448242216374268</v>
      </c>
      <c r="AK20" s="19" t="s">
        <v>56</v>
      </c>
    </row>
    <row r="21" spans="1:37" x14ac:dyDescent="0.2">
      <c r="C21" s="23">
        <f>SUM(C17:C20)</f>
        <v>438.4868628272252</v>
      </c>
      <c r="E21">
        <f>SUM(E17:E20)</f>
        <v>1075.0405478506736</v>
      </c>
      <c r="AG21" s="16"/>
      <c r="AH21" s="16"/>
      <c r="AI21" s="18"/>
      <c r="AJ21" s="16"/>
      <c r="AK21" s="19"/>
    </row>
    <row r="22" spans="1:37" x14ac:dyDescent="0.2">
      <c r="Q22" s="6" t="s">
        <v>7</v>
      </c>
      <c r="R22" s="6" t="s">
        <v>57</v>
      </c>
      <c r="S22" s="6"/>
      <c r="T22" s="6"/>
      <c r="U22" s="6" t="s">
        <v>48</v>
      </c>
      <c r="V22" s="6"/>
      <c r="W22" s="6" t="s">
        <v>10</v>
      </c>
      <c r="X22" s="6"/>
      <c r="AG22" s="16"/>
      <c r="AH22" s="16"/>
      <c r="AI22" s="18"/>
      <c r="AJ22" s="16"/>
      <c r="AK22" s="19"/>
    </row>
    <row r="23" spans="1:37" ht="30" x14ac:dyDescent="0.25">
      <c r="A23" s="6" t="s">
        <v>58</v>
      </c>
      <c r="Q23" s="8" t="s">
        <v>59</v>
      </c>
      <c r="R23" s="8" t="s">
        <v>25</v>
      </c>
      <c r="S23" s="8" t="s">
        <v>26</v>
      </c>
      <c r="T23" s="8" t="s">
        <v>27</v>
      </c>
      <c r="U23" s="8" t="s">
        <v>26</v>
      </c>
      <c r="V23" s="8" t="s">
        <v>27</v>
      </c>
      <c r="W23" s="8" t="s">
        <v>26</v>
      </c>
      <c r="X23" s="8" t="s">
        <v>27</v>
      </c>
      <c r="AF23" s="6" t="s">
        <v>60</v>
      </c>
      <c r="AG23" s="1" t="s">
        <v>16</v>
      </c>
      <c r="AH23" s="1" t="s">
        <v>17</v>
      </c>
      <c r="AI23" s="1" t="s">
        <v>18</v>
      </c>
      <c r="AJ23" s="1" t="s">
        <v>19</v>
      </c>
      <c r="AK23" s="19"/>
    </row>
    <row r="24" spans="1:37" ht="25.5" x14ac:dyDescent="0.2">
      <c r="A24" s="8" t="s">
        <v>61</v>
      </c>
      <c r="B24" s="29" t="s">
        <v>22</v>
      </c>
      <c r="C24" s="29" t="s">
        <v>62</v>
      </c>
      <c r="D24" s="29" t="s">
        <v>63</v>
      </c>
      <c r="F24" t="s">
        <v>64</v>
      </c>
      <c r="I24" s="29" t="s">
        <v>24</v>
      </c>
      <c r="Q24" t="str">
        <f>A40</f>
        <v>Laser cutting</v>
      </c>
      <c r="R24" s="30">
        <v>2</v>
      </c>
      <c r="S24" s="12">
        <f>R24*(1-$R$2)</f>
        <v>1.8</v>
      </c>
      <c r="T24" s="12">
        <f>R24*(1+$R$2)</f>
        <v>2.2000000000000002</v>
      </c>
      <c r="U24" s="31">
        <v>3.0438900000000001E-3</v>
      </c>
      <c r="V24" s="32">
        <v>3.0438900000000001E-3</v>
      </c>
      <c r="W24" s="33">
        <f t="shared" ref="W24:X27" si="11">(U24-$U$2)/$U$2 *100</f>
        <v>0</v>
      </c>
      <c r="X24" s="33">
        <f t="shared" si="11"/>
        <v>0</v>
      </c>
      <c r="Y24">
        <v>2</v>
      </c>
      <c r="Z24">
        <v>3</v>
      </c>
      <c r="AA24">
        <v>1</v>
      </c>
      <c r="AB24">
        <v>2</v>
      </c>
      <c r="AC24">
        <v>1</v>
      </c>
      <c r="AD24">
        <v>1.59</v>
      </c>
      <c r="AF24" t="str">
        <f>Q24</f>
        <v>Laser cutting</v>
      </c>
      <c r="AG24" s="16" t="str">
        <f>_xlfn.CONCAT(Y24,",",Z24,",",AA24,",",AB24,",",AC24)</f>
        <v>2,3,1,2,1</v>
      </c>
      <c r="AH24" s="16">
        <f>AD24</f>
        <v>1.59</v>
      </c>
      <c r="AI24" s="18">
        <f>MAX(ABS(W24), X24)</f>
        <v>0</v>
      </c>
      <c r="AJ24" s="27">
        <f>AH24*AI24</f>
        <v>0</v>
      </c>
      <c r="AK24" s="19" t="s">
        <v>65</v>
      </c>
    </row>
    <row r="25" spans="1:37" ht="25.5" x14ac:dyDescent="0.2">
      <c r="A25" t="s">
        <v>23</v>
      </c>
      <c r="B25" s="9">
        <f>SUM($C$7, $C$17)</f>
        <v>703.05913717277485</v>
      </c>
      <c r="C25" s="34">
        <f t="shared" ref="C25:C32" si="12">B25*0.001</f>
        <v>0.70305913717277491</v>
      </c>
      <c r="D25" s="35">
        <f t="shared" ref="D25:D32" si="13">F25*C25</f>
        <v>1399.087682973822</v>
      </c>
      <c r="F25">
        <v>1990</v>
      </c>
      <c r="I25" s="10" t="s">
        <v>66</v>
      </c>
      <c r="Q25" t="str">
        <f>A41</f>
        <v>Welding</v>
      </c>
      <c r="R25" s="30">
        <v>144</v>
      </c>
      <c r="S25" s="12">
        <f>R25*(1-$R$2)</f>
        <v>129.6</v>
      </c>
      <c r="T25" s="12">
        <f>R25*(1+$R$2)</f>
        <v>158.4</v>
      </c>
      <c r="U25" s="32">
        <v>3.0438800000000001E-3</v>
      </c>
      <c r="V25" s="32">
        <v>3.0439E-3</v>
      </c>
      <c r="W25" s="36">
        <f t="shared" si="11"/>
        <v>-3.2852698356184394E-4</v>
      </c>
      <c r="X25" s="37">
        <f t="shared" si="11"/>
        <v>3.2852698356184394E-4</v>
      </c>
      <c r="Y25">
        <v>3</v>
      </c>
      <c r="Z25">
        <v>3</v>
      </c>
      <c r="AA25">
        <v>1</v>
      </c>
      <c r="AB25">
        <v>2</v>
      </c>
      <c r="AC25">
        <v>2</v>
      </c>
      <c r="AD25">
        <v>2.0299999999999998</v>
      </c>
      <c r="AF25" t="str">
        <f>Q25</f>
        <v>Welding</v>
      </c>
      <c r="AG25" s="16" t="str">
        <f>_xlfn.CONCAT(Y25,",",Z25,",",AA25,",",AB25,",",AC25)</f>
        <v>3,3,1,2,2</v>
      </c>
      <c r="AH25" s="16">
        <f>AD25</f>
        <v>2.0299999999999998</v>
      </c>
      <c r="AI25" s="18">
        <f>MAX(ABS(W25), X25)</f>
        <v>3.2852698356184394E-4</v>
      </c>
      <c r="AJ25" s="27">
        <f>AH25*AI25</f>
        <v>6.6690977663054311E-4</v>
      </c>
      <c r="AK25" s="19" t="s">
        <v>67</v>
      </c>
    </row>
    <row r="26" spans="1:37" ht="38.25" x14ac:dyDescent="0.2">
      <c r="A26" t="s">
        <v>6</v>
      </c>
      <c r="B26" s="9">
        <f>$C$18</f>
        <v>8.18</v>
      </c>
      <c r="C26" s="34">
        <f t="shared" si="12"/>
        <v>8.1799999999999998E-3</v>
      </c>
      <c r="D26" s="35">
        <f t="shared" si="13"/>
        <v>26.06445343</v>
      </c>
      <c r="F26">
        <f>3186.3635</f>
        <v>3186.3634999999999</v>
      </c>
      <c r="I26" s="10" t="s">
        <v>68</v>
      </c>
      <c r="Q26" t="str">
        <f>A42</f>
        <v>Fabrication/Machining</v>
      </c>
      <c r="R26" s="30">
        <v>180.5</v>
      </c>
      <c r="S26" s="12">
        <f>R26*(1-$R$2)</f>
        <v>162.45000000000002</v>
      </c>
      <c r="T26" s="12">
        <f>R26*(1+$R$2)</f>
        <v>198.55</v>
      </c>
      <c r="U26" s="32">
        <v>3.0438700000000002E-3</v>
      </c>
      <c r="V26" s="32">
        <v>3.0439099999999999E-3</v>
      </c>
      <c r="W26" s="36">
        <f t="shared" si="11"/>
        <v>-6.5705396712368788E-4</v>
      </c>
      <c r="X26" s="37">
        <f t="shared" si="11"/>
        <v>6.5705396712368788E-4</v>
      </c>
      <c r="Y26">
        <v>4</v>
      </c>
      <c r="Z26">
        <v>3</v>
      </c>
      <c r="AA26">
        <v>1</v>
      </c>
      <c r="AB26">
        <v>2</v>
      </c>
      <c r="AC26">
        <v>2</v>
      </c>
      <c r="AD26">
        <v>2.27</v>
      </c>
      <c r="AF26" t="str">
        <f>Q26</f>
        <v>Fabrication/Machining</v>
      </c>
      <c r="AG26" s="16" t="str">
        <f>_xlfn.CONCAT(Y26,",",Z26,",",AA26,",",AB26,",",AC26)</f>
        <v>4,3,1,2,2</v>
      </c>
      <c r="AH26" s="16">
        <f>AD26</f>
        <v>2.27</v>
      </c>
      <c r="AI26" s="18">
        <f>MAX(ABS(W26), X26)</f>
        <v>6.5705396712368788E-4</v>
      </c>
      <c r="AJ26" s="27">
        <f>AH26*AI26</f>
        <v>1.4915125053707714E-3</v>
      </c>
      <c r="AK26" s="19" t="s">
        <v>69</v>
      </c>
    </row>
    <row r="27" spans="1:37" ht="38.25" x14ac:dyDescent="0.2">
      <c r="A27" t="s">
        <v>29</v>
      </c>
      <c r="B27" s="9">
        <f>SUM($C$9,$C$20)</f>
        <v>157.71339267015708</v>
      </c>
      <c r="C27" s="34">
        <f t="shared" si="12"/>
        <v>0.15771339267015708</v>
      </c>
      <c r="D27" s="35">
        <f t="shared" si="13"/>
        <v>679.00452614255812</v>
      </c>
      <c r="F27">
        <v>4305.3067000000001</v>
      </c>
      <c r="I27" s="10" t="s">
        <v>70</v>
      </c>
      <c r="Q27" t="str">
        <f>A43</f>
        <v>3D Printing</v>
      </c>
      <c r="R27" s="30">
        <v>0.42899999999999999</v>
      </c>
      <c r="S27" s="12">
        <f>R27*(1-$R$2)</f>
        <v>0.3861</v>
      </c>
      <c r="T27" s="12">
        <f>R27*(1+$R$2)</f>
        <v>0.47190000000000004</v>
      </c>
      <c r="U27" s="32">
        <v>3.0438900000000001E-3</v>
      </c>
      <c r="V27" s="32">
        <v>3.0438900000000001E-3</v>
      </c>
      <c r="W27" s="33">
        <f t="shared" si="11"/>
        <v>0</v>
      </c>
      <c r="X27" s="33">
        <f t="shared" si="11"/>
        <v>0</v>
      </c>
      <c r="Y27">
        <v>2</v>
      </c>
      <c r="Z27">
        <v>2</v>
      </c>
      <c r="AA27">
        <v>1</v>
      </c>
      <c r="AB27">
        <v>2</v>
      </c>
      <c r="AC27">
        <v>2</v>
      </c>
      <c r="AD27">
        <v>1.8</v>
      </c>
      <c r="AF27" t="str">
        <f>Q27</f>
        <v>3D Printing</v>
      </c>
      <c r="AG27" s="16" t="str">
        <f>_xlfn.CONCAT(Y27,",",Z27,",",AA27,",",AB27,",",AC27)</f>
        <v>2,2,1,2,2</v>
      </c>
      <c r="AH27" s="16">
        <f>AD27</f>
        <v>1.8</v>
      </c>
      <c r="AI27" s="18">
        <f>MAX(ABS(W27), X27)</f>
        <v>0</v>
      </c>
      <c r="AJ27" s="27">
        <f>AH27*AI27</f>
        <v>0</v>
      </c>
      <c r="AK27" s="19" t="s">
        <v>71</v>
      </c>
    </row>
    <row r="28" spans="1:37" x14ac:dyDescent="0.2">
      <c r="A28" t="s">
        <v>72</v>
      </c>
      <c r="B28" s="9">
        <f>$C$12</f>
        <v>52</v>
      </c>
      <c r="C28" s="34">
        <f t="shared" si="12"/>
        <v>5.2000000000000005E-2</v>
      </c>
      <c r="D28" s="35">
        <f t="shared" si="13"/>
        <v>173.44973880000001</v>
      </c>
      <c r="F28">
        <v>3335.5718999999999</v>
      </c>
      <c r="I28" s="10" t="s">
        <v>73</v>
      </c>
      <c r="AG28" s="16"/>
      <c r="AH28" s="16"/>
      <c r="AI28" s="18"/>
      <c r="AJ28" s="16"/>
      <c r="AK28" s="19"/>
    </row>
    <row r="29" spans="1:37" x14ac:dyDescent="0.2">
      <c r="A29" t="s">
        <v>74</v>
      </c>
      <c r="B29" s="9">
        <f>$C$11</f>
        <v>44.6</v>
      </c>
      <c r="C29" s="34">
        <f t="shared" si="12"/>
        <v>4.4600000000000001E-2</v>
      </c>
      <c r="D29" s="35">
        <f t="shared" si="13"/>
        <v>192.01667882000001</v>
      </c>
      <c r="F29">
        <v>4305.3067000000001</v>
      </c>
      <c r="I29" s="10" t="s">
        <v>70</v>
      </c>
      <c r="AG29" s="16"/>
      <c r="AH29" s="16"/>
      <c r="AI29" s="18"/>
      <c r="AJ29" s="16"/>
      <c r="AK29" s="19"/>
    </row>
    <row r="30" spans="1:37" x14ac:dyDescent="0.2">
      <c r="A30" t="s">
        <v>49</v>
      </c>
      <c r="B30" s="9">
        <f>$C$19</f>
        <v>0.27360000000000001</v>
      </c>
      <c r="C30" s="34">
        <f t="shared" si="12"/>
        <v>2.7360000000000004E-4</v>
      </c>
      <c r="D30" s="35">
        <f t="shared" si="13"/>
        <v>1.7236800000000003</v>
      </c>
      <c r="F30">
        <f>6.3*1000</f>
        <v>6300</v>
      </c>
      <c r="I30" s="10" t="s">
        <v>75</v>
      </c>
      <c r="Q30" s="6" t="s">
        <v>7</v>
      </c>
      <c r="S30" s="6" t="s">
        <v>8</v>
      </c>
      <c r="T30" s="6"/>
      <c r="U30" s="6" t="s">
        <v>48</v>
      </c>
      <c r="W30" s="6" t="s">
        <v>10</v>
      </c>
      <c r="AG30" s="16"/>
      <c r="AH30" s="16"/>
      <c r="AI30" s="18"/>
      <c r="AJ30" s="16"/>
      <c r="AK30" s="19"/>
    </row>
    <row r="31" spans="1:37" ht="30" x14ac:dyDescent="0.25">
      <c r="A31" t="s">
        <v>37</v>
      </c>
      <c r="B31" s="9">
        <f>$C$10</f>
        <v>96</v>
      </c>
      <c r="C31" s="34">
        <f t="shared" si="12"/>
        <v>9.6000000000000002E-2</v>
      </c>
      <c r="D31" s="35">
        <f t="shared" si="13"/>
        <v>1161.0240000000001</v>
      </c>
      <c r="F31">
        <v>12094</v>
      </c>
      <c r="I31" s="10" t="s">
        <v>76</v>
      </c>
      <c r="Q31" s="8" t="s">
        <v>77</v>
      </c>
      <c r="R31" s="8" t="s">
        <v>25</v>
      </c>
      <c r="S31" s="8" t="s">
        <v>26</v>
      </c>
      <c r="T31" s="8" t="s">
        <v>27</v>
      </c>
      <c r="U31" s="8" t="s">
        <v>26</v>
      </c>
      <c r="V31" s="8" t="s">
        <v>27</v>
      </c>
      <c r="W31" t="s">
        <v>26</v>
      </c>
      <c r="X31" t="s">
        <v>27</v>
      </c>
      <c r="AF31" s="6" t="s">
        <v>78</v>
      </c>
      <c r="AG31" s="1" t="s">
        <v>16</v>
      </c>
      <c r="AH31" s="1" t="s">
        <v>17</v>
      </c>
      <c r="AI31" s="1" t="s">
        <v>18</v>
      </c>
      <c r="AJ31" s="1" t="s">
        <v>19</v>
      </c>
      <c r="AK31" s="19"/>
    </row>
    <row r="32" spans="1:37" ht="28.5" x14ac:dyDescent="0.2">
      <c r="A32" t="s">
        <v>32</v>
      </c>
      <c r="B32" s="9">
        <f>$C$8</f>
        <v>209.00000000000003</v>
      </c>
      <c r="C32" s="34">
        <f t="shared" si="12"/>
        <v>0.20900000000000002</v>
      </c>
      <c r="D32" s="35">
        <f t="shared" si="13"/>
        <v>899.80910030000007</v>
      </c>
      <c r="F32">
        <v>4305.3067000000001</v>
      </c>
      <c r="I32" s="10" t="s">
        <v>70</v>
      </c>
      <c r="Q32" s="38" t="str">
        <f t="shared" ref="Q32:Q41" si="14">AL47</f>
        <v>Invercargill, Aluminium smelter-Stainless Design, Hamilton</v>
      </c>
      <c r="R32" s="24">
        <v>1500</v>
      </c>
      <c r="S32" s="12">
        <f t="shared" ref="S32:S41" si="15">R32*(1-$R$2)</f>
        <v>1350</v>
      </c>
      <c r="T32" s="12">
        <f t="shared" ref="T32:T41" si="16">R32*(1+$R$2)</f>
        <v>1650.0000000000002</v>
      </c>
      <c r="U32" s="14">
        <v>2.8017599999999999E-3</v>
      </c>
      <c r="V32" s="14">
        <v>3.3115000000000002E-3</v>
      </c>
      <c r="W32" s="39">
        <f t="shared" ref="W32:W41" si="17">(U32-$U$2)/$U$2 *100</f>
        <v>-7.9546238530301725</v>
      </c>
      <c r="X32" s="39">
        <f t="shared" ref="X32:X41" si="18">(V32-$U$2)/$U$2 *100</f>
        <v>8.7917106071507245</v>
      </c>
      <c r="Y32">
        <v>1</v>
      </c>
      <c r="Z32">
        <v>1</v>
      </c>
      <c r="AA32">
        <v>2</v>
      </c>
      <c r="AB32">
        <v>1</v>
      </c>
      <c r="AC32">
        <v>1</v>
      </c>
      <c r="AD32">
        <v>1.01</v>
      </c>
      <c r="AF32" s="19" t="str">
        <f t="shared" ref="AF32:AF41" si="19">Q32</f>
        <v>Invercargill, Aluminium smelter-Stainless Design, Hamilton</v>
      </c>
      <c r="AG32" s="16" t="str">
        <f t="shared" ref="AG32:AG41" si="20">_xlfn.CONCAT(Y32,",",Z32,",",AA32,",",AB32,",",AC32)</f>
        <v>1,1,2,1,1</v>
      </c>
      <c r="AH32" s="16">
        <f t="shared" ref="AH32:AH41" si="21">AD32</f>
        <v>1.01</v>
      </c>
      <c r="AI32" s="18">
        <f t="shared" ref="AI32:AI41" si="22">MAX(ABS(W32), X32)</f>
        <v>8.7917106071507245</v>
      </c>
      <c r="AJ32" s="26">
        <f t="shared" ref="AJ32:AJ41" si="23">AH32*AI32</f>
        <v>8.8796277132222325</v>
      </c>
      <c r="AK32" s="19" t="s">
        <v>79</v>
      </c>
    </row>
    <row r="33" spans="1:39" ht="25.5" x14ac:dyDescent="0.2">
      <c r="A33" s="40" t="s">
        <v>80</v>
      </c>
      <c r="B33" s="41">
        <f>SUM(B25:B32)</f>
        <v>1270.826129842932</v>
      </c>
      <c r="C33" s="41">
        <f>SUM(C25:C32)</f>
        <v>1.270826129842932</v>
      </c>
      <c r="D33" s="41">
        <f>SUM(D25:D32)</f>
        <v>4532.17986046638</v>
      </c>
      <c r="Q33" s="38" t="str">
        <f t="shared" si="14"/>
        <v>Stainless Designs Hamilton-Robotics Plus, Tauranga</v>
      </c>
      <c r="R33" s="24">
        <v>107</v>
      </c>
      <c r="S33" s="12">
        <f t="shared" si="15"/>
        <v>96.3</v>
      </c>
      <c r="T33" s="12">
        <f t="shared" si="16"/>
        <v>117.7</v>
      </c>
      <c r="U33" s="14">
        <v>3.0438900000000001E-3</v>
      </c>
      <c r="V33" s="14">
        <v>3.0438900000000001E-3</v>
      </c>
      <c r="W33" s="42">
        <f t="shared" si="17"/>
        <v>0</v>
      </c>
      <c r="X33" s="42">
        <f t="shared" si="18"/>
        <v>0</v>
      </c>
      <c r="Y33">
        <v>1</v>
      </c>
      <c r="Z33">
        <v>1</v>
      </c>
      <c r="AA33">
        <v>2</v>
      </c>
      <c r="AB33">
        <v>1</v>
      </c>
      <c r="AC33">
        <v>1</v>
      </c>
      <c r="AD33">
        <v>1.01</v>
      </c>
      <c r="AF33" s="19" t="str">
        <f t="shared" si="19"/>
        <v>Stainless Designs Hamilton-Robotics Plus, Tauranga</v>
      </c>
      <c r="AG33" s="16" t="str">
        <f t="shared" si="20"/>
        <v>1,1,2,1,1</v>
      </c>
      <c r="AH33" s="16">
        <f t="shared" si="21"/>
        <v>1.01</v>
      </c>
      <c r="AI33" s="18">
        <f t="shared" si="22"/>
        <v>0</v>
      </c>
      <c r="AJ33" s="27">
        <f t="shared" si="23"/>
        <v>0</v>
      </c>
      <c r="AK33" s="19" t="s">
        <v>79</v>
      </c>
    </row>
    <row r="34" spans="1:39" ht="28.5" x14ac:dyDescent="0.2">
      <c r="Q34" s="38" t="str">
        <f t="shared" si="14"/>
        <v>Supercheap Auto, Tauranga-Robotics Plus, Tauranga</v>
      </c>
      <c r="R34" s="24">
        <v>11</v>
      </c>
      <c r="S34" s="12">
        <f t="shared" si="15"/>
        <v>9.9</v>
      </c>
      <c r="T34" s="12">
        <f t="shared" si="16"/>
        <v>12.100000000000001</v>
      </c>
      <c r="U34" s="14">
        <v>3.0438900000000001E-3</v>
      </c>
      <c r="V34" s="14">
        <v>3.0438900000000001E-3</v>
      </c>
      <c r="W34" s="42">
        <f t="shared" si="17"/>
        <v>0</v>
      </c>
      <c r="X34" s="42">
        <f t="shared" si="18"/>
        <v>0</v>
      </c>
      <c r="Y34">
        <v>1</v>
      </c>
      <c r="Z34">
        <v>1</v>
      </c>
      <c r="AA34">
        <v>2</v>
      </c>
      <c r="AB34">
        <v>1</v>
      </c>
      <c r="AC34">
        <v>1</v>
      </c>
      <c r="AD34">
        <v>1.01</v>
      </c>
      <c r="AF34" s="19" t="str">
        <f t="shared" si="19"/>
        <v>Supercheap Auto, Tauranga-Robotics Plus, Tauranga</v>
      </c>
      <c r="AG34" s="16" t="str">
        <f t="shared" si="20"/>
        <v>1,1,2,1,1</v>
      </c>
      <c r="AH34" s="16">
        <f t="shared" si="21"/>
        <v>1.01</v>
      </c>
      <c r="AI34" s="18">
        <f t="shared" si="22"/>
        <v>0</v>
      </c>
      <c r="AJ34" s="27">
        <f t="shared" si="23"/>
        <v>0</v>
      </c>
      <c r="AK34" s="19" t="s">
        <v>79</v>
      </c>
    </row>
    <row r="35" spans="1:39" ht="25.5" x14ac:dyDescent="0.2">
      <c r="Q35" s="38" t="str">
        <f t="shared" si="14"/>
        <v>Bridgestone, Tauranga-Robotics Plus, Tauranga</v>
      </c>
      <c r="R35" s="24">
        <v>12</v>
      </c>
      <c r="S35" s="12">
        <f t="shared" si="15"/>
        <v>10.8</v>
      </c>
      <c r="T35" s="12">
        <f t="shared" si="16"/>
        <v>13.200000000000001</v>
      </c>
      <c r="U35" s="14">
        <v>3.0438900000000001E-3</v>
      </c>
      <c r="V35" s="14">
        <v>3.0438900000000001E-3</v>
      </c>
      <c r="W35" s="42">
        <f t="shared" si="17"/>
        <v>0</v>
      </c>
      <c r="X35" s="42">
        <f t="shared" si="18"/>
        <v>0</v>
      </c>
      <c r="Y35">
        <v>1</v>
      </c>
      <c r="Z35">
        <v>1</v>
      </c>
      <c r="AA35">
        <v>2</v>
      </c>
      <c r="AB35">
        <v>1</v>
      </c>
      <c r="AC35">
        <v>1</v>
      </c>
      <c r="AD35">
        <v>1.01</v>
      </c>
      <c r="AF35" s="19" t="str">
        <f t="shared" si="19"/>
        <v>Bridgestone, Tauranga-Robotics Plus, Tauranga</v>
      </c>
      <c r="AG35" s="16" t="str">
        <f t="shared" si="20"/>
        <v>1,1,2,1,1</v>
      </c>
      <c r="AH35" s="16">
        <f t="shared" si="21"/>
        <v>1.01</v>
      </c>
      <c r="AI35" s="18">
        <f t="shared" si="22"/>
        <v>0</v>
      </c>
      <c r="AJ35" s="27">
        <f t="shared" si="23"/>
        <v>0</v>
      </c>
      <c r="AK35" s="19" t="s">
        <v>79</v>
      </c>
    </row>
    <row r="36" spans="1:39" ht="25.5" x14ac:dyDescent="0.2">
      <c r="Q36" s="38" t="str">
        <f t="shared" si="14"/>
        <v>Resin Craft, Hamilton-Robotics Plus, Tauranga</v>
      </c>
      <c r="R36" s="24">
        <v>107</v>
      </c>
      <c r="S36" s="12">
        <f t="shared" si="15"/>
        <v>96.3</v>
      </c>
      <c r="T36" s="12">
        <f t="shared" si="16"/>
        <v>117.7</v>
      </c>
      <c r="U36" s="14">
        <v>3.04266E-3</v>
      </c>
      <c r="V36" s="14">
        <v>3.0452500000000002E-3</v>
      </c>
      <c r="W36" s="42">
        <f t="shared" si="17"/>
        <v>-4.0408818978349012E-2</v>
      </c>
      <c r="X36" s="42">
        <f t="shared" si="18"/>
        <v>4.4679669764681483E-2</v>
      </c>
      <c r="Y36">
        <v>1</v>
      </c>
      <c r="Z36">
        <v>1</v>
      </c>
      <c r="AA36">
        <v>2</v>
      </c>
      <c r="AB36">
        <v>1</v>
      </c>
      <c r="AC36">
        <v>1</v>
      </c>
      <c r="AD36">
        <v>1.01</v>
      </c>
      <c r="AF36" s="19" t="str">
        <f t="shared" si="19"/>
        <v>Resin Craft, Hamilton-Robotics Plus, Tauranga</v>
      </c>
      <c r="AG36" s="16" t="str">
        <f t="shared" si="20"/>
        <v>1,1,2,1,1</v>
      </c>
      <c r="AH36" s="16">
        <f t="shared" si="21"/>
        <v>1.01</v>
      </c>
      <c r="AI36" s="18">
        <f t="shared" si="22"/>
        <v>4.4679669764681483E-2</v>
      </c>
      <c r="AJ36" s="27">
        <f t="shared" si="23"/>
        <v>4.5126466462328298E-2</v>
      </c>
      <c r="AK36" s="19" t="s">
        <v>79</v>
      </c>
    </row>
    <row r="37" spans="1:39" ht="25.5" x14ac:dyDescent="0.2">
      <c r="A37" t="s">
        <v>81</v>
      </c>
      <c r="C37" s="22">
        <v>3.1E-2</v>
      </c>
      <c r="Q37" s="38" t="str">
        <f t="shared" si="14"/>
        <v>Thailand, Port of Bangkok-Port of Tauranga</v>
      </c>
      <c r="R37" s="24">
        <v>12306</v>
      </c>
      <c r="S37" s="12">
        <f t="shared" si="15"/>
        <v>11075.4</v>
      </c>
      <c r="T37" s="12">
        <f t="shared" si="16"/>
        <v>13536.6</v>
      </c>
      <c r="U37" s="14">
        <v>3.03806E-3</v>
      </c>
      <c r="V37" s="14">
        <v>3.05033E-3</v>
      </c>
      <c r="W37" s="42">
        <f t="shared" si="17"/>
        <v>-0.19153123141769482</v>
      </c>
      <c r="X37" s="42">
        <f t="shared" si="18"/>
        <v>0.21157137741508128</v>
      </c>
      <c r="Y37">
        <v>1</v>
      </c>
      <c r="Z37">
        <v>1</v>
      </c>
      <c r="AA37">
        <v>2</v>
      </c>
      <c r="AB37">
        <v>5</v>
      </c>
      <c r="AC37">
        <v>1</v>
      </c>
      <c r="AD37">
        <v>1.56</v>
      </c>
      <c r="AF37" s="19" t="str">
        <f t="shared" si="19"/>
        <v>Thailand, Port of Bangkok-Port of Tauranga</v>
      </c>
      <c r="AG37" s="16" t="str">
        <f t="shared" si="20"/>
        <v>1,1,2,5,1</v>
      </c>
      <c r="AH37" s="16">
        <f t="shared" si="21"/>
        <v>1.56</v>
      </c>
      <c r="AI37" s="18">
        <f t="shared" si="22"/>
        <v>0.21157137741508128</v>
      </c>
      <c r="AJ37" s="43">
        <f t="shared" si="23"/>
        <v>0.33005134876752679</v>
      </c>
      <c r="AK37" s="19" t="s">
        <v>82</v>
      </c>
    </row>
    <row r="38" spans="1:39" ht="25.5" x14ac:dyDescent="0.2">
      <c r="Q38" s="38" t="str">
        <f t="shared" si="14"/>
        <v>Port of Shanghai-Port of Tauranga</v>
      </c>
      <c r="R38" s="24">
        <v>11758</v>
      </c>
      <c r="S38" s="12">
        <f t="shared" si="15"/>
        <v>10582.2</v>
      </c>
      <c r="T38" s="12">
        <f t="shared" si="16"/>
        <v>12933.800000000001</v>
      </c>
      <c r="U38" s="14">
        <v>2.8604799999999999E-3</v>
      </c>
      <c r="V38" s="14">
        <v>3.24661E-3</v>
      </c>
      <c r="W38" s="39">
        <f t="shared" si="17"/>
        <v>-6.0255134055435704</v>
      </c>
      <c r="X38" s="39">
        <f t="shared" si="18"/>
        <v>6.659899010805252</v>
      </c>
      <c r="Y38">
        <v>1</v>
      </c>
      <c r="Z38">
        <v>1</v>
      </c>
      <c r="AA38">
        <v>2</v>
      </c>
      <c r="AB38">
        <v>5</v>
      </c>
      <c r="AC38">
        <v>1</v>
      </c>
      <c r="AD38">
        <v>1.56</v>
      </c>
      <c r="AF38" s="19" t="str">
        <f t="shared" si="19"/>
        <v>Port of Shanghai-Port of Tauranga</v>
      </c>
      <c r="AG38" s="16" t="str">
        <f t="shared" si="20"/>
        <v>1,1,2,5,1</v>
      </c>
      <c r="AH38" s="16">
        <f>AD39</f>
        <v>1.56</v>
      </c>
      <c r="AI38" s="18">
        <f t="shared" si="22"/>
        <v>6.659899010805252</v>
      </c>
      <c r="AJ38" s="26">
        <f t="shared" si="23"/>
        <v>10.389442456856193</v>
      </c>
      <c r="AK38" s="19" t="s">
        <v>82</v>
      </c>
    </row>
    <row r="39" spans="1:39" ht="26.25" x14ac:dyDescent="0.25">
      <c r="A39" s="44" t="s">
        <v>83</v>
      </c>
      <c r="B39" s="45" t="s">
        <v>84</v>
      </c>
      <c r="C39" s="46" t="s">
        <v>85</v>
      </c>
      <c r="D39" s="45" t="s">
        <v>86</v>
      </c>
      <c r="F39" s="8" t="s">
        <v>87</v>
      </c>
      <c r="Q39" s="38" t="str">
        <f t="shared" si="14"/>
        <v>Port of Tauranga-Robotics Plus, Tauranga</v>
      </c>
      <c r="R39" s="24">
        <v>20</v>
      </c>
      <c r="S39" s="12">
        <f t="shared" si="15"/>
        <v>18</v>
      </c>
      <c r="T39" s="12">
        <f t="shared" si="16"/>
        <v>22</v>
      </c>
      <c r="U39" s="14">
        <v>3.0438800000000001E-3</v>
      </c>
      <c r="V39" s="14">
        <v>3.0439E-3</v>
      </c>
      <c r="W39" s="42">
        <f t="shared" si="17"/>
        <v>-3.2852698356184394E-4</v>
      </c>
      <c r="X39" s="42">
        <f t="shared" si="18"/>
        <v>3.2852698356184394E-4</v>
      </c>
      <c r="Y39">
        <v>1</v>
      </c>
      <c r="Z39">
        <v>1</v>
      </c>
      <c r="AA39">
        <v>2</v>
      </c>
      <c r="AB39">
        <v>5</v>
      </c>
      <c r="AC39">
        <v>1</v>
      </c>
      <c r="AD39">
        <v>1.56</v>
      </c>
      <c r="AF39" s="19" t="str">
        <f t="shared" si="19"/>
        <v>Port of Tauranga-Robotics Plus, Tauranga</v>
      </c>
      <c r="AG39" s="16" t="str">
        <f t="shared" si="20"/>
        <v>1,1,2,5,1</v>
      </c>
      <c r="AH39" s="16">
        <f>AD39</f>
        <v>1.56</v>
      </c>
      <c r="AI39" s="18">
        <f t="shared" si="22"/>
        <v>3.2852698356184394E-4</v>
      </c>
      <c r="AJ39" s="27">
        <f t="shared" si="23"/>
        <v>5.1250209435647659E-4</v>
      </c>
      <c r="AK39" s="19" t="s">
        <v>82</v>
      </c>
    </row>
    <row r="40" spans="1:39" ht="25.5" x14ac:dyDescent="0.2">
      <c r="A40" s="47" t="s">
        <v>88</v>
      </c>
      <c r="B40" s="22">
        <f>20/60 * 6</f>
        <v>2</v>
      </c>
      <c r="C40" s="16">
        <f>B40*3.6</f>
        <v>7.2</v>
      </c>
      <c r="D40" s="16">
        <f>C40*$C$37</f>
        <v>0.22320000000000001</v>
      </c>
      <c r="F40" s="48" t="s">
        <v>89</v>
      </c>
      <c r="Q40" s="38" t="str">
        <f t="shared" si="14"/>
        <v>Port of Hamburg -Port of Tauranga</v>
      </c>
      <c r="R40" s="24">
        <v>27841</v>
      </c>
      <c r="S40" s="12">
        <f t="shared" si="15"/>
        <v>25056.9</v>
      </c>
      <c r="T40" s="12">
        <f t="shared" si="16"/>
        <v>30625.100000000002</v>
      </c>
      <c r="U40" s="14">
        <v>2.9056500000000001E-3</v>
      </c>
      <c r="V40" s="14">
        <v>3.1966799999999999E-3</v>
      </c>
      <c r="W40" s="49">
        <f t="shared" si="17"/>
        <v>-4.541557020785902</v>
      </c>
      <c r="X40" s="49">
        <f t="shared" si="18"/>
        <v>5.01956378187122</v>
      </c>
      <c r="Y40">
        <v>1</v>
      </c>
      <c r="Z40">
        <v>1</v>
      </c>
      <c r="AA40">
        <v>2</v>
      </c>
      <c r="AB40">
        <v>5</v>
      </c>
      <c r="AC40">
        <v>1</v>
      </c>
      <c r="AD40">
        <v>1.56</v>
      </c>
      <c r="AF40" s="19" t="str">
        <f t="shared" si="19"/>
        <v>Port of Hamburg -Port of Tauranga</v>
      </c>
      <c r="AG40" s="16" t="str">
        <f t="shared" si="20"/>
        <v>1,1,2,5,1</v>
      </c>
      <c r="AH40" s="16">
        <f t="shared" si="21"/>
        <v>1.56</v>
      </c>
      <c r="AI40" s="18">
        <f t="shared" si="22"/>
        <v>5.01956378187122</v>
      </c>
      <c r="AJ40" s="26">
        <f t="shared" si="23"/>
        <v>7.8305194997191032</v>
      </c>
      <c r="AK40" s="19" t="s">
        <v>82</v>
      </c>
    </row>
    <row r="41" spans="1:39" ht="25.5" x14ac:dyDescent="0.2">
      <c r="A41" s="47" t="s">
        <v>90</v>
      </c>
      <c r="B41" s="22">
        <f>9*(8*2)</f>
        <v>144</v>
      </c>
      <c r="C41" s="16">
        <f>B41*3.6</f>
        <v>518.4</v>
      </c>
      <c r="D41" s="50">
        <f>C41*$C$37</f>
        <v>16.070399999999999</v>
      </c>
      <c r="F41" s="48" t="s">
        <v>91</v>
      </c>
      <c r="Q41" s="38" t="str">
        <f t="shared" si="14"/>
        <v>Prague, Czech Republic-Port of Hamburg</v>
      </c>
      <c r="R41" s="24">
        <v>550</v>
      </c>
      <c r="S41" s="12">
        <f t="shared" si="15"/>
        <v>495</v>
      </c>
      <c r="T41" s="12">
        <f t="shared" si="16"/>
        <v>605</v>
      </c>
      <c r="U41" s="14">
        <v>3.04376E-3</v>
      </c>
      <c r="V41" s="14">
        <v>3.0440300000000001E-3</v>
      </c>
      <c r="W41" s="42">
        <f t="shared" si="17"/>
        <v>-4.2708507863324658E-3</v>
      </c>
      <c r="X41" s="42">
        <f t="shared" si="18"/>
        <v>4.5993777698943106E-3</v>
      </c>
      <c r="Y41">
        <v>1</v>
      </c>
      <c r="Z41">
        <v>1</v>
      </c>
      <c r="AA41">
        <v>2</v>
      </c>
      <c r="AB41">
        <v>5</v>
      </c>
      <c r="AC41">
        <v>1</v>
      </c>
      <c r="AD41">
        <v>1.56</v>
      </c>
      <c r="AF41" s="19" t="str">
        <f t="shared" si="19"/>
        <v>Prague, Czech Republic-Port of Hamburg</v>
      </c>
      <c r="AG41" s="16" t="str">
        <f t="shared" si="20"/>
        <v>1,1,2,5,1</v>
      </c>
      <c r="AH41" s="16">
        <f t="shared" si="21"/>
        <v>1.56</v>
      </c>
      <c r="AI41" s="18">
        <f t="shared" si="22"/>
        <v>4.5993777698943106E-3</v>
      </c>
      <c r="AJ41" s="27">
        <f t="shared" si="23"/>
        <v>7.175029321035125E-3</v>
      </c>
      <c r="AK41" s="19" t="s">
        <v>82</v>
      </c>
    </row>
    <row r="42" spans="1:39" x14ac:dyDescent="0.2">
      <c r="A42" s="47" t="s">
        <v>92</v>
      </c>
      <c r="B42" s="22">
        <f>0.5*180.5*2</f>
        <v>180.5</v>
      </c>
      <c r="C42" s="16">
        <f>B42*3.6</f>
        <v>649.80000000000007</v>
      </c>
      <c r="D42" s="50">
        <f>C42*$C$37</f>
        <v>20.143800000000002</v>
      </c>
      <c r="F42" s="48" t="s">
        <v>93</v>
      </c>
    </row>
    <row r="43" spans="1:39" x14ac:dyDescent="0.2">
      <c r="A43" s="47" t="s">
        <v>94</v>
      </c>
      <c r="B43" s="51">
        <f>0.15*(20/7)</f>
        <v>0.42857142857142855</v>
      </c>
      <c r="C43" s="16">
        <f>B43*3.6</f>
        <v>1.5428571428571427</v>
      </c>
      <c r="D43" s="16">
        <f>C43*$C$37</f>
        <v>4.7828571428571422E-2</v>
      </c>
      <c r="F43" s="48" t="s">
        <v>95</v>
      </c>
    </row>
    <row r="44" spans="1:39" ht="15" x14ac:dyDescent="0.25">
      <c r="C44" s="52" t="s">
        <v>80</v>
      </c>
      <c r="D44" s="53">
        <f>SUM(D40:D42)</f>
        <v>36.437399999999997</v>
      </c>
    </row>
    <row r="45" spans="1:39" ht="15" x14ac:dyDescent="0.25">
      <c r="C45" s="52"/>
      <c r="D45" s="53"/>
    </row>
    <row r="46" spans="1:39" x14ac:dyDescent="0.2">
      <c r="A46" s="6" t="s">
        <v>96</v>
      </c>
      <c r="F46" s="54"/>
      <c r="AL46" s="6" t="s">
        <v>97</v>
      </c>
      <c r="AM46" s="6" t="s">
        <v>98</v>
      </c>
    </row>
    <row r="47" spans="1:39" ht="45" x14ac:dyDescent="0.25">
      <c r="A47" s="55" t="s">
        <v>20</v>
      </c>
      <c r="B47" s="55" t="s">
        <v>99</v>
      </c>
      <c r="C47" s="55" t="s">
        <v>100</v>
      </c>
      <c r="D47" s="55" t="s">
        <v>101</v>
      </c>
      <c r="E47" s="56" t="s">
        <v>102</v>
      </c>
      <c r="F47" s="56" t="s">
        <v>62</v>
      </c>
      <c r="G47" s="56" t="s">
        <v>103</v>
      </c>
      <c r="H47" s="55" t="s">
        <v>104</v>
      </c>
      <c r="I47" s="56" t="s">
        <v>105</v>
      </c>
      <c r="AL47" s="57" t="str">
        <f>_xlfn.CONCAT(B48,"-",C48)</f>
        <v>Invercargill, Aluminium smelter-Stainless Design, Hamilton</v>
      </c>
      <c r="AM47" s="58">
        <f>1500</f>
        <v>1500</v>
      </c>
    </row>
    <row r="48" spans="1:39" ht="28.5" x14ac:dyDescent="0.2">
      <c r="A48" s="38" t="s">
        <v>23</v>
      </c>
      <c r="B48" s="38" t="s">
        <v>106</v>
      </c>
      <c r="C48" s="38" t="s">
        <v>107</v>
      </c>
      <c r="D48" s="58">
        <f>AM47</f>
        <v>1500</v>
      </c>
      <c r="E48" s="58" t="s">
        <v>108</v>
      </c>
      <c r="F48" s="59">
        <f>$C$25</f>
        <v>0.70305913717277491</v>
      </c>
      <c r="G48" s="60">
        <f t="shared" ref="G48:G53" si="24">F48*D48*$G$71</f>
        <v>142369.47527748693</v>
      </c>
      <c r="H48" s="16">
        <f>(G48)/1000</f>
        <v>142.36947527748691</v>
      </c>
      <c r="I48" s="51">
        <f t="shared" ref="I48:I61" si="25">F48*H48</f>
        <v>100.09416044833065</v>
      </c>
      <c r="K48" t="s">
        <v>109</v>
      </c>
      <c r="AL48" s="57" t="str">
        <f>_xlfn.CONCAT(B49,"-",C49)</f>
        <v>Stainless Designs Hamilton-Robotics Plus, Tauranga</v>
      </c>
      <c r="AM48" s="22">
        <f>107</f>
        <v>107</v>
      </c>
    </row>
    <row r="49" spans="1:39" ht="14.25" x14ac:dyDescent="0.2">
      <c r="A49" t="s">
        <v>23</v>
      </c>
      <c r="B49" t="s">
        <v>110</v>
      </c>
      <c r="C49" t="s">
        <v>111</v>
      </c>
      <c r="D49" s="22">
        <f>AM51</f>
        <v>107</v>
      </c>
      <c r="E49" s="22" t="s">
        <v>108</v>
      </c>
      <c r="F49" s="59">
        <f>$C$25</f>
        <v>0.70305913717277491</v>
      </c>
      <c r="G49" s="60">
        <f t="shared" si="24"/>
        <v>10155.689236460734</v>
      </c>
      <c r="H49" s="16">
        <f t="shared" ref="H49:H61" si="26">(G49)/1000</f>
        <v>10.155689236460734</v>
      </c>
      <c r="I49" s="51">
        <f t="shared" si="25"/>
        <v>7.140050111980921</v>
      </c>
      <c r="AL49" s="57" t="str">
        <f>_xlfn.CONCAT(B50,"-",C50)</f>
        <v>Supercheap Auto, Tauranga-Robotics Plus, Tauranga</v>
      </c>
      <c r="AM49" s="22">
        <f>11</f>
        <v>11</v>
      </c>
    </row>
    <row r="50" spans="1:39" ht="14.25" x14ac:dyDescent="0.2">
      <c r="A50" t="s">
        <v>6</v>
      </c>
      <c r="B50" t="s">
        <v>112</v>
      </c>
      <c r="C50" t="s">
        <v>111</v>
      </c>
      <c r="D50" s="22">
        <f>AM49</f>
        <v>11</v>
      </c>
      <c r="E50" s="22" t="s">
        <v>108</v>
      </c>
      <c r="F50" s="59">
        <f>$C$26</f>
        <v>8.1799999999999998E-3</v>
      </c>
      <c r="G50" s="60">
        <f t="shared" si="24"/>
        <v>12.147300000000001</v>
      </c>
      <c r="H50" s="16">
        <f t="shared" si="26"/>
        <v>1.2147300000000001E-2</v>
      </c>
      <c r="I50" s="51">
        <f t="shared" si="25"/>
        <v>9.9364914000000013E-5</v>
      </c>
      <c r="K50" t="s">
        <v>113</v>
      </c>
      <c r="AL50" s="57" t="str">
        <f>_xlfn.CONCAT(B51,"-",C51)</f>
        <v>Bridgestone, Tauranga-Robotics Plus, Tauranga</v>
      </c>
      <c r="AM50" s="22">
        <f>12</f>
        <v>12</v>
      </c>
    </row>
    <row r="51" spans="1:39" ht="14.25" x14ac:dyDescent="0.2">
      <c r="A51" t="s">
        <v>72</v>
      </c>
      <c r="B51" t="s">
        <v>114</v>
      </c>
      <c r="C51" t="s">
        <v>111</v>
      </c>
      <c r="D51" s="22">
        <f>AM50</f>
        <v>12</v>
      </c>
      <c r="E51" s="22" t="s">
        <v>108</v>
      </c>
      <c r="F51" s="51">
        <f>$C$28</f>
        <v>5.2000000000000005E-2</v>
      </c>
      <c r="G51" s="60">
        <f t="shared" si="24"/>
        <v>84.240000000000009</v>
      </c>
      <c r="H51" s="16">
        <f t="shared" si="26"/>
        <v>8.4240000000000009E-2</v>
      </c>
      <c r="I51" s="51">
        <f t="shared" si="25"/>
        <v>4.3804800000000008E-3</v>
      </c>
      <c r="K51" t="s">
        <v>115</v>
      </c>
      <c r="AL51" s="57" t="str">
        <f>_xlfn.CONCAT(B52,"-",C52)</f>
        <v>Resin Craft, Hamilton-Robotics Plus, Tauranga</v>
      </c>
      <c r="AM51" s="22">
        <f>107</f>
        <v>107</v>
      </c>
    </row>
    <row r="52" spans="1:39" ht="14.25" x14ac:dyDescent="0.2">
      <c r="A52" t="s">
        <v>49</v>
      </c>
      <c r="B52" t="s">
        <v>116</v>
      </c>
      <c r="C52" t="s">
        <v>111</v>
      </c>
      <c r="D52" s="22">
        <f>AM51</f>
        <v>107</v>
      </c>
      <c r="E52" s="22" t="s">
        <v>108</v>
      </c>
      <c r="F52" s="61">
        <f>$C$30</f>
        <v>2.7360000000000004E-4</v>
      </c>
      <c r="G52" s="60">
        <f t="shared" si="24"/>
        <v>3.9521520000000008</v>
      </c>
      <c r="H52" s="16">
        <f t="shared" si="26"/>
        <v>3.9521520000000004E-3</v>
      </c>
      <c r="I52" s="62">
        <f t="shared" si="25"/>
        <v>1.0813087872000003E-6</v>
      </c>
      <c r="K52" t="s">
        <v>117</v>
      </c>
      <c r="AL52" s="57" t="str">
        <f>_xlfn.CONCAT(B54,"-",C54)</f>
        <v>Thailand, Port of Bangkok-Port of Tauranga</v>
      </c>
      <c r="AM52" s="22">
        <f>12306</f>
        <v>12306</v>
      </c>
    </row>
    <row r="53" spans="1:39" ht="14.25" x14ac:dyDescent="0.2">
      <c r="A53" t="s">
        <v>118</v>
      </c>
      <c r="B53" t="s">
        <v>119</v>
      </c>
      <c r="C53" t="s">
        <v>111</v>
      </c>
      <c r="D53" s="22">
        <f>AM54</f>
        <v>20</v>
      </c>
      <c r="E53" s="22" t="s">
        <v>108</v>
      </c>
      <c r="F53" s="51">
        <f>C29</f>
        <v>4.4600000000000001E-2</v>
      </c>
      <c r="G53" s="60">
        <f t="shared" si="24"/>
        <v>120.42</v>
      </c>
      <c r="H53" s="16">
        <f t="shared" si="26"/>
        <v>0.12042</v>
      </c>
      <c r="I53" s="51">
        <f t="shared" si="25"/>
        <v>5.3707320000000005E-3</v>
      </c>
      <c r="K53" t="s">
        <v>120</v>
      </c>
      <c r="AL53" s="57" t="str">
        <f>_xlfn.CONCAT(B58,"-",C58)</f>
        <v>Port of Shanghai-Port of Tauranga</v>
      </c>
      <c r="AM53" s="22">
        <f>11758</f>
        <v>11758</v>
      </c>
    </row>
    <row r="54" spans="1:39" ht="14.25" x14ac:dyDescent="0.2">
      <c r="A54" t="s">
        <v>118</v>
      </c>
      <c r="B54" t="s">
        <v>121</v>
      </c>
      <c r="C54" t="s">
        <v>119</v>
      </c>
      <c r="D54" s="22">
        <f>AM52</f>
        <v>12306</v>
      </c>
      <c r="E54" s="22" t="s">
        <v>122</v>
      </c>
      <c r="F54" s="51">
        <f>C29</f>
        <v>4.4600000000000001E-2</v>
      </c>
      <c r="G54" s="60">
        <f>F54*D54*$G$70</f>
        <v>6586.1712000000007</v>
      </c>
      <c r="H54" s="16">
        <f t="shared" si="26"/>
        <v>6.5861712000000008</v>
      </c>
      <c r="I54" s="51">
        <f t="shared" si="25"/>
        <v>0.29374323552000003</v>
      </c>
      <c r="AL54" s="57" t="str">
        <f>_xlfn.CONCAT(B59,"-",C59)</f>
        <v>Port of Tauranga-Robotics Plus, Tauranga</v>
      </c>
      <c r="AM54" s="22">
        <f>20</f>
        <v>20</v>
      </c>
    </row>
    <row r="55" spans="1:39" ht="14.25" x14ac:dyDescent="0.2">
      <c r="A55" t="s">
        <v>29</v>
      </c>
      <c r="B55" t="s">
        <v>119</v>
      </c>
      <c r="C55" t="s">
        <v>111</v>
      </c>
      <c r="D55" s="22">
        <f>AM54</f>
        <v>20</v>
      </c>
      <c r="E55" s="22" t="s">
        <v>108</v>
      </c>
      <c r="F55" s="51">
        <f>C27</f>
        <v>0.15771339267015708</v>
      </c>
      <c r="G55" s="60">
        <f>F55*D55*$G$71</f>
        <v>425.82616020942407</v>
      </c>
      <c r="H55" s="16">
        <f t="shared" si="26"/>
        <v>0.4258261602094241</v>
      </c>
      <c r="I55" s="51">
        <f t="shared" si="25"/>
        <v>6.7158488414334125E-2</v>
      </c>
      <c r="K55" t="s">
        <v>123</v>
      </c>
      <c r="AL55" s="57" t="str">
        <f>_xlfn.CONCAT(B60,"-",C60)</f>
        <v>Port of Hamburg -Port of Tauranga</v>
      </c>
      <c r="AM55" s="22">
        <f>27841</f>
        <v>27841</v>
      </c>
    </row>
    <row r="56" spans="1:39" ht="14.25" x14ac:dyDescent="0.2">
      <c r="A56" t="s">
        <v>29</v>
      </c>
      <c r="B56" t="s">
        <v>124</v>
      </c>
      <c r="C56" t="s">
        <v>119</v>
      </c>
      <c r="D56" s="22">
        <f>AM53</f>
        <v>11758</v>
      </c>
      <c r="E56" s="22" t="s">
        <v>122</v>
      </c>
      <c r="F56" s="51">
        <f>C27</f>
        <v>0.15771339267015708</v>
      </c>
      <c r="G56" s="60">
        <f>F56*D56*$G$70</f>
        <v>22252.728852188484</v>
      </c>
      <c r="H56" s="16">
        <f t="shared" si="26"/>
        <v>22.252728852188483</v>
      </c>
      <c r="I56" s="51">
        <f t="shared" si="25"/>
        <v>3.5095533634477358</v>
      </c>
      <c r="AL56" s="57" t="str">
        <f>_xlfn.CONCAT(B61,"-",C61)</f>
        <v>Prague, Czech Republic-Port of Hamburg</v>
      </c>
      <c r="AM56" s="22">
        <f>550</f>
        <v>550</v>
      </c>
    </row>
    <row r="57" spans="1:39" ht="14.25" x14ac:dyDescent="0.2">
      <c r="A57" t="s">
        <v>32</v>
      </c>
      <c r="B57" t="s">
        <v>119</v>
      </c>
      <c r="C57" t="s">
        <v>111</v>
      </c>
      <c r="D57" s="22">
        <f>AM54</f>
        <v>20</v>
      </c>
      <c r="E57" s="22" t="s">
        <v>108</v>
      </c>
      <c r="F57" s="51">
        <f>C32</f>
        <v>0.20900000000000002</v>
      </c>
      <c r="G57" s="60">
        <f>F57*D57*$G$71</f>
        <v>564.30000000000007</v>
      </c>
      <c r="H57" s="16">
        <f t="shared" si="26"/>
        <v>0.56430000000000002</v>
      </c>
      <c r="I57" s="51">
        <f t="shared" si="25"/>
        <v>0.11793870000000002</v>
      </c>
    </row>
    <row r="58" spans="1:39" ht="14.25" x14ac:dyDescent="0.2">
      <c r="A58" t="s">
        <v>32</v>
      </c>
      <c r="B58" t="s">
        <v>124</v>
      </c>
      <c r="C58" t="s">
        <v>119</v>
      </c>
      <c r="D58" s="22">
        <f>AM53</f>
        <v>11758</v>
      </c>
      <c r="E58" s="22" t="s">
        <v>122</v>
      </c>
      <c r="F58" s="51">
        <f>C32</f>
        <v>0.20900000000000002</v>
      </c>
      <c r="G58" s="60">
        <f>F58*D58*$G$70</f>
        <v>29489.063999999998</v>
      </c>
      <c r="H58" s="16">
        <f t="shared" si="26"/>
        <v>29.489063999999999</v>
      </c>
      <c r="I58" s="51">
        <f t="shared" si="25"/>
        <v>6.163214376</v>
      </c>
      <c r="K58" t="s">
        <v>125</v>
      </c>
      <c r="Q58" s="38"/>
    </row>
    <row r="59" spans="1:39" ht="14.25" x14ac:dyDescent="0.2">
      <c r="A59" t="s">
        <v>37</v>
      </c>
      <c r="B59" t="s">
        <v>119</v>
      </c>
      <c r="C59" t="s">
        <v>111</v>
      </c>
      <c r="D59" s="22">
        <f>AM54</f>
        <v>20</v>
      </c>
      <c r="E59" s="22" t="s">
        <v>108</v>
      </c>
      <c r="F59" s="51">
        <f>$C$31</f>
        <v>9.6000000000000002E-2</v>
      </c>
      <c r="G59" s="60">
        <f>F59*D59*$G$71</f>
        <v>259.2</v>
      </c>
      <c r="H59" s="16">
        <f t="shared" si="26"/>
        <v>0.25919999999999999</v>
      </c>
      <c r="I59" s="51">
        <f t="shared" si="25"/>
        <v>2.4883199999999998E-2</v>
      </c>
      <c r="Q59" s="38"/>
    </row>
    <row r="60" spans="1:39" ht="14.25" x14ac:dyDescent="0.2">
      <c r="A60" t="s">
        <v>37</v>
      </c>
      <c r="B60" t="s">
        <v>126</v>
      </c>
      <c r="C60" t="s">
        <v>119</v>
      </c>
      <c r="D60" s="22">
        <f>AM55</f>
        <v>27841</v>
      </c>
      <c r="E60" s="22" t="s">
        <v>122</v>
      </c>
      <c r="F60" s="51">
        <f>$C$31</f>
        <v>9.6000000000000002E-2</v>
      </c>
      <c r="G60" s="60">
        <f>F60*D60*$G$70</f>
        <v>32072.831999999999</v>
      </c>
      <c r="H60" s="16">
        <f t="shared" si="26"/>
        <v>32.072831999999998</v>
      </c>
      <c r="I60" s="51">
        <f t="shared" si="25"/>
        <v>3.078991872</v>
      </c>
    </row>
    <row r="61" spans="1:39" ht="14.25" x14ac:dyDescent="0.2">
      <c r="A61" t="s">
        <v>37</v>
      </c>
      <c r="B61" t="s">
        <v>127</v>
      </c>
      <c r="C61" t="s">
        <v>128</v>
      </c>
      <c r="D61" s="22">
        <f>AM56</f>
        <v>550</v>
      </c>
      <c r="E61" s="22" t="s">
        <v>129</v>
      </c>
      <c r="F61" s="51">
        <f>$C$31</f>
        <v>9.6000000000000002E-2</v>
      </c>
      <c r="G61" s="60">
        <f>F61*D61*$G$69</f>
        <v>1478.4</v>
      </c>
      <c r="H61" s="16">
        <f t="shared" si="26"/>
        <v>1.4784000000000002</v>
      </c>
      <c r="I61" s="51">
        <f t="shared" si="25"/>
        <v>0.14192640000000001</v>
      </c>
      <c r="K61" t="s">
        <v>130</v>
      </c>
    </row>
    <row r="62" spans="1:39" ht="15" x14ac:dyDescent="0.25">
      <c r="A62" s="63"/>
      <c r="B62" s="63"/>
      <c r="C62" s="63"/>
      <c r="D62" s="63"/>
      <c r="E62" s="63"/>
      <c r="F62" s="63"/>
      <c r="G62" s="63"/>
      <c r="H62" s="64" t="s">
        <v>80</v>
      </c>
      <c r="I62" s="65">
        <f>SUM(I48:I61)</f>
        <v>120.64147185391644</v>
      </c>
    </row>
    <row r="66" spans="1:7" ht="20.25" x14ac:dyDescent="0.3">
      <c r="A66" s="5" t="s">
        <v>131</v>
      </c>
    </row>
    <row r="67" spans="1:7" x14ac:dyDescent="0.2">
      <c r="A67" s="66" t="s">
        <v>132</v>
      </c>
      <c r="B67" s="66" t="s">
        <v>133</v>
      </c>
      <c r="C67" s="66" t="s">
        <v>134</v>
      </c>
      <c r="D67" s="67"/>
    </row>
    <row r="68" spans="1:7" ht="27.75" x14ac:dyDescent="0.35">
      <c r="A68" s="68" t="s">
        <v>135</v>
      </c>
      <c r="B68" s="69">
        <f>((60*60)/5.5)*4</f>
        <v>2618.181818181818</v>
      </c>
      <c r="C68" s="67" t="s">
        <v>136</v>
      </c>
      <c r="D68" s="70"/>
      <c r="F68" s="45" t="s">
        <v>78</v>
      </c>
      <c r="G68" s="46" t="s">
        <v>137</v>
      </c>
    </row>
    <row r="69" spans="1:7" x14ac:dyDescent="0.2">
      <c r="A69" s="68" t="s">
        <v>138</v>
      </c>
      <c r="B69" s="70" t="s">
        <v>139</v>
      </c>
      <c r="C69" s="67" t="s">
        <v>140</v>
      </c>
      <c r="D69" s="70"/>
      <c r="F69" t="s">
        <v>141</v>
      </c>
      <c r="G69" s="22">
        <v>28</v>
      </c>
    </row>
    <row r="70" spans="1:7" x14ac:dyDescent="0.2">
      <c r="A70" s="68" t="s">
        <v>142</v>
      </c>
      <c r="B70" s="70">
        <v>400</v>
      </c>
      <c r="C70" s="67" t="s">
        <v>143</v>
      </c>
      <c r="D70" s="70"/>
      <c r="F70" t="s">
        <v>144</v>
      </c>
      <c r="G70" s="22">
        <v>12</v>
      </c>
    </row>
    <row r="71" spans="1:7" x14ac:dyDescent="0.2">
      <c r="A71" s="68" t="s">
        <v>145</v>
      </c>
      <c r="B71" s="70">
        <v>10.1</v>
      </c>
      <c r="C71" s="67" t="s">
        <v>146</v>
      </c>
      <c r="D71" s="70"/>
      <c r="F71" t="s">
        <v>147</v>
      </c>
      <c r="G71" s="22">
        <v>135</v>
      </c>
    </row>
    <row r="72" spans="1:7" ht="25.5" x14ac:dyDescent="0.2">
      <c r="A72" s="68" t="s">
        <v>148</v>
      </c>
      <c r="B72" s="70">
        <v>2.59</v>
      </c>
      <c r="C72" s="67" t="s">
        <v>146</v>
      </c>
      <c r="D72" s="70"/>
    </row>
    <row r="73" spans="1:7" x14ac:dyDescent="0.2">
      <c r="A73" s="68" t="s">
        <v>149</v>
      </c>
      <c r="B73" s="70" t="s">
        <v>150</v>
      </c>
      <c r="C73" s="67" t="s">
        <v>146</v>
      </c>
      <c r="D73" s="70"/>
    </row>
    <row r="74" spans="1:7" x14ac:dyDescent="0.2">
      <c r="A74" s="68" t="s">
        <v>151</v>
      </c>
      <c r="B74" s="70" t="s">
        <v>152</v>
      </c>
      <c r="C74" s="67" t="s">
        <v>153</v>
      </c>
      <c r="D74" s="70"/>
    </row>
    <row r="75" spans="1:7" x14ac:dyDescent="0.2">
      <c r="A75" s="68" t="s">
        <v>154</v>
      </c>
      <c r="B75" s="70">
        <v>24</v>
      </c>
      <c r="C75" s="67" t="s">
        <v>153</v>
      </c>
      <c r="D75" s="70"/>
    </row>
    <row r="76" spans="1:7" x14ac:dyDescent="0.2">
      <c r="A76" s="68" t="s">
        <v>155</v>
      </c>
      <c r="B76" s="70">
        <v>8.64</v>
      </c>
      <c r="C76" s="67" t="s">
        <v>156</v>
      </c>
      <c r="D76" s="70"/>
    </row>
    <row r="77" spans="1:7" x14ac:dyDescent="0.2">
      <c r="A77" s="68" t="s">
        <v>157</v>
      </c>
      <c r="B77" s="70">
        <v>4</v>
      </c>
      <c r="C77" s="67" t="s">
        <v>140</v>
      </c>
      <c r="D77" s="70"/>
    </row>
    <row r="78" spans="1:7" x14ac:dyDescent="0.2">
      <c r="A78" s="68" t="s">
        <v>158</v>
      </c>
      <c r="B78" s="70">
        <v>600</v>
      </c>
      <c r="C78" s="67" t="s">
        <v>143</v>
      </c>
      <c r="D78" s="70"/>
    </row>
    <row r="79" spans="1:7" x14ac:dyDescent="0.2">
      <c r="A79" s="68" t="s">
        <v>159</v>
      </c>
      <c r="B79" s="70">
        <v>800</v>
      </c>
      <c r="C79" s="67" t="s">
        <v>143</v>
      </c>
      <c r="D79" s="70"/>
    </row>
    <row r="80" spans="1:7" x14ac:dyDescent="0.2">
      <c r="A80" s="68" t="s">
        <v>160</v>
      </c>
      <c r="B80" s="70">
        <v>60</v>
      </c>
      <c r="C80" s="67" t="s">
        <v>143</v>
      </c>
      <c r="D80" s="70"/>
    </row>
    <row r="81" spans="1:19" x14ac:dyDescent="0.2">
      <c r="A81" s="68" t="s">
        <v>161</v>
      </c>
      <c r="B81" s="70" t="s">
        <v>162</v>
      </c>
      <c r="C81" s="67" t="s">
        <v>140</v>
      </c>
      <c r="D81" s="70"/>
    </row>
    <row r="82" spans="1:19" x14ac:dyDescent="0.2">
      <c r="A82" s="68" t="s">
        <v>163</v>
      </c>
      <c r="B82" s="70">
        <v>4</v>
      </c>
      <c r="C82" s="67" t="s">
        <v>140</v>
      </c>
      <c r="D82" s="70"/>
    </row>
    <row r="83" spans="1:19" x14ac:dyDescent="0.2">
      <c r="A83" s="68" t="s">
        <v>164</v>
      </c>
      <c r="B83" s="70" t="s">
        <v>165</v>
      </c>
      <c r="C83" s="67" t="s">
        <v>140</v>
      </c>
      <c r="D83" s="70"/>
    </row>
    <row r="84" spans="1:19" x14ac:dyDescent="0.2">
      <c r="A84" s="71" t="s">
        <v>166</v>
      </c>
      <c r="B84" s="72" t="s">
        <v>167</v>
      </c>
      <c r="C84" s="73" t="s">
        <v>140</v>
      </c>
    </row>
    <row r="85" spans="1:19" x14ac:dyDescent="0.2">
      <c r="A85" t="s">
        <v>168</v>
      </c>
      <c r="B85">
        <v>45000</v>
      </c>
      <c r="C85" t="s">
        <v>153</v>
      </c>
    </row>
    <row r="92" spans="1:19" x14ac:dyDescent="0.2">
      <c r="A92" t="s">
        <v>169</v>
      </c>
    </row>
    <row r="93" spans="1:19" ht="49.5" x14ac:dyDescent="0.35">
      <c r="A93" s="44" t="s">
        <v>170</v>
      </c>
      <c r="B93" s="56" t="s">
        <v>171</v>
      </c>
      <c r="C93" s="56" t="s">
        <v>172</v>
      </c>
      <c r="D93" s="46" t="s">
        <v>173</v>
      </c>
      <c r="R93" s="6" t="s">
        <v>174</v>
      </c>
      <c r="S93" t="s">
        <v>175</v>
      </c>
    </row>
    <row r="94" spans="1:19" x14ac:dyDescent="0.2">
      <c r="A94" t="s">
        <v>176</v>
      </c>
      <c r="B94" s="74">
        <f>D33</f>
        <v>4532.17986046638</v>
      </c>
      <c r="C94" s="75">
        <f>B94/($B$68*$B$85)</f>
        <v>3.8467575976180693E-5</v>
      </c>
      <c r="D94" s="51">
        <f>C94/$C$97</f>
        <v>0.96650240884102545</v>
      </c>
      <c r="Q94" s="6" t="s">
        <v>177</v>
      </c>
    </row>
    <row r="95" spans="1:19" x14ac:dyDescent="0.2">
      <c r="A95" t="s">
        <v>59</v>
      </c>
      <c r="B95" s="74">
        <f>D44</f>
        <v>36.437399999999997</v>
      </c>
      <c r="C95" s="75">
        <f>B95/($B$68*$B$85)</f>
        <v>3.0926805555555552E-7</v>
      </c>
      <c r="D95" s="51">
        <f>C95/$C$97</f>
        <v>7.770396576511864E-3</v>
      </c>
      <c r="Q95" t="s">
        <v>178</v>
      </c>
      <c r="R95" s="9">
        <f>D32/1.1 *0.1</f>
        <v>81.800827300000009</v>
      </c>
      <c r="S95" s="76">
        <f>R95/$R$128</f>
        <v>1.7444120199393544E-2</v>
      </c>
    </row>
    <row r="96" spans="1:19" x14ac:dyDescent="0.2">
      <c r="A96" t="s">
        <v>96</v>
      </c>
      <c r="B96" s="74">
        <f>I62</f>
        <v>120.64147185391644</v>
      </c>
      <c r="C96" s="75">
        <f>B96/($B$68*$B$85)</f>
        <v>1.0239631098712045E-6</v>
      </c>
      <c r="D96" s="51">
        <f>C96/$C$97</f>
        <v>2.572719458246266E-2</v>
      </c>
      <c r="Q96" t="s">
        <v>179</v>
      </c>
      <c r="R96" s="9">
        <f>D27/1.1 *0.1</f>
        <v>61.727684194778014</v>
      </c>
      <c r="S96" s="76">
        <f>R96/$R$128</f>
        <v>1.3163499420059198E-2</v>
      </c>
    </row>
    <row r="97" spans="1:19" x14ac:dyDescent="0.2">
      <c r="A97" s="47" t="s">
        <v>80</v>
      </c>
      <c r="B97" s="50">
        <f>SUM(B94:B96)</f>
        <v>4689.2587323202961</v>
      </c>
      <c r="C97" s="4">
        <f>SUM(C94:C96)</f>
        <v>3.9800807141607455E-5</v>
      </c>
      <c r="Q97" s="6" t="s">
        <v>80</v>
      </c>
      <c r="R97" s="77">
        <f>SUM(R95:R96)</f>
        <v>143.52851149477803</v>
      </c>
      <c r="S97" s="78">
        <f>R97/$R$128</f>
        <v>3.0607619619452742E-2</v>
      </c>
    </row>
    <row r="99" spans="1:19" x14ac:dyDescent="0.2">
      <c r="Q99" s="6" t="s">
        <v>180</v>
      </c>
    </row>
    <row r="100" spans="1:19" x14ac:dyDescent="0.2">
      <c r="Q100" s="79" t="s">
        <v>90</v>
      </c>
      <c r="R100" s="35">
        <f>D40</f>
        <v>0.22320000000000001</v>
      </c>
      <c r="S100" s="80">
        <f>R100/$R$128</f>
        <v>4.759765587975464E-5</v>
      </c>
    </row>
    <row r="101" spans="1:19" x14ac:dyDescent="0.2">
      <c r="Q101" t="s">
        <v>181</v>
      </c>
      <c r="R101" s="35">
        <f>D43</f>
        <v>4.7828571428571422E-2</v>
      </c>
      <c r="S101" s="80">
        <f>R101/$R$128</f>
        <v>1.0199497688518849E-5</v>
      </c>
    </row>
    <row r="102" spans="1:19" x14ac:dyDescent="0.2">
      <c r="Q102" s="6" t="s">
        <v>80</v>
      </c>
      <c r="R102" s="81">
        <f>SUM(R100:R101)</f>
        <v>0.27102857142857145</v>
      </c>
      <c r="S102" s="82">
        <f>R102/$R$128</f>
        <v>5.779715356827349E-5</v>
      </c>
    </row>
    <row r="104" spans="1:19" x14ac:dyDescent="0.2">
      <c r="Q104" s="6" t="s">
        <v>182</v>
      </c>
    </row>
    <row r="105" spans="1:19" x14ac:dyDescent="0.2">
      <c r="Q105" t="s">
        <v>183</v>
      </c>
      <c r="R105" s="35">
        <f>I48+I49</f>
        <v>107.23421056031158</v>
      </c>
      <c r="S105" s="74">
        <f t="shared" ref="S105:S113" si="27">R105/$R$128</f>
        <v>2.2867818336858695E-2</v>
      </c>
    </row>
    <row r="106" spans="1:19" x14ac:dyDescent="0.2">
      <c r="Q106" t="s">
        <v>184</v>
      </c>
      <c r="R106" s="35">
        <f>I50</f>
        <v>9.9364914000000013E-5</v>
      </c>
      <c r="S106" s="74">
        <f t="shared" si="27"/>
        <v>2.1189681823895224E-8</v>
      </c>
    </row>
    <row r="107" spans="1:19" x14ac:dyDescent="0.2">
      <c r="Q107" t="s">
        <v>185</v>
      </c>
      <c r="R107" s="35">
        <f>I51</f>
        <v>4.3804800000000008E-3</v>
      </c>
      <c r="S107" s="74">
        <f t="shared" si="27"/>
        <v>9.3414238184653953E-7</v>
      </c>
    </row>
    <row r="108" spans="1:19" x14ac:dyDescent="0.2">
      <c r="Q108" t="s">
        <v>186</v>
      </c>
      <c r="R108" s="35">
        <f>I52</f>
        <v>1.0813087872000003E-6</v>
      </c>
      <c r="S108" s="74">
        <f t="shared" si="27"/>
        <v>2.3059033849865793E-10</v>
      </c>
    </row>
    <row r="109" spans="1:19" x14ac:dyDescent="0.2">
      <c r="Q109" t="s">
        <v>187</v>
      </c>
      <c r="R109" s="35">
        <f>I53+I54</f>
        <v>0.29911396752000002</v>
      </c>
      <c r="S109" s="74">
        <f t="shared" si="27"/>
        <v>6.3786396482280765E-5</v>
      </c>
    </row>
    <row r="110" spans="1:19" x14ac:dyDescent="0.2">
      <c r="Q110" t="s">
        <v>188</v>
      </c>
      <c r="R110" s="35">
        <f>I55+I56</f>
        <v>3.5767118518620697</v>
      </c>
      <c r="S110" s="74">
        <f t="shared" si="27"/>
        <v>7.6273790280452839E-4</v>
      </c>
    </row>
    <row r="111" spans="1:19" x14ac:dyDescent="0.2">
      <c r="Q111" t="s">
        <v>189</v>
      </c>
      <c r="R111" s="35">
        <f>I57+I58</f>
        <v>6.2811530759999998</v>
      </c>
      <c r="S111" s="74">
        <f t="shared" si="27"/>
        <v>1.3394630942630389E-3</v>
      </c>
    </row>
    <row r="112" spans="1:19" x14ac:dyDescent="0.2">
      <c r="Q112" t="s">
        <v>190</v>
      </c>
      <c r="R112" s="35">
        <f>I59+I60+I61</f>
        <v>3.2458014720000001</v>
      </c>
      <c r="S112" s="74">
        <f t="shared" si="27"/>
        <v>6.9217088493842764E-4</v>
      </c>
    </row>
    <row r="113" spans="17:19" x14ac:dyDescent="0.2">
      <c r="Q113" s="6" t="s">
        <v>80</v>
      </c>
      <c r="R113" s="81">
        <f>SUM(R105:R112)</f>
        <v>120.64147185391643</v>
      </c>
      <c r="S113" s="83">
        <f t="shared" si="27"/>
        <v>2.572693217800098E-2</v>
      </c>
    </row>
    <row r="114" spans="17:19" x14ac:dyDescent="0.2">
      <c r="Q114" s="6"/>
      <c r="R114" s="35"/>
      <c r="S114" s="74"/>
    </row>
    <row r="115" spans="17:19" x14ac:dyDescent="0.2">
      <c r="Q115" s="6" t="s">
        <v>191</v>
      </c>
      <c r="R115" s="35"/>
      <c r="S115" s="74"/>
    </row>
    <row r="116" spans="17:19" x14ac:dyDescent="0.2">
      <c r="Q116" t="s">
        <v>23</v>
      </c>
      <c r="R116" s="35">
        <f>D25</f>
        <v>1399.087682973822</v>
      </c>
      <c r="S116" s="74">
        <f t="shared" ref="S116:S126" si="28">R116/$R$128</f>
        <v>0.29835705232881377</v>
      </c>
    </row>
    <row r="117" spans="17:19" x14ac:dyDescent="0.2">
      <c r="Q117" t="s">
        <v>6</v>
      </c>
      <c r="R117" s="35">
        <f>D26</f>
        <v>26.06445343</v>
      </c>
      <c r="S117" s="74">
        <f t="shared" si="28"/>
        <v>5.5582745746193115E-3</v>
      </c>
    </row>
    <row r="118" spans="17:19" x14ac:dyDescent="0.2">
      <c r="Q118" t="s">
        <v>29</v>
      </c>
      <c r="R118" s="35">
        <f>D27/1.1</f>
        <v>617.2768419477801</v>
      </c>
      <c r="S118" s="74">
        <f t="shared" si="28"/>
        <v>0.13163499420059196</v>
      </c>
    </row>
    <row r="119" spans="17:19" x14ac:dyDescent="0.2">
      <c r="Q119" t="s">
        <v>72</v>
      </c>
      <c r="R119" s="35">
        <f>D28</f>
        <v>173.44973880000001</v>
      </c>
      <c r="S119" s="74">
        <f t="shared" si="28"/>
        <v>3.6988355644425298E-2</v>
      </c>
    </row>
    <row r="120" spans="17:19" x14ac:dyDescent="0.2">
      <c r="Q120" t="s">
        <v>74</v>
      </c>
      <c r="R120" s="35">
        <f>D29</f>
        <v>192.01667882000001</v>
      </c>
      <c r="S120" s="74">
        <f t="shared" si="28"/>
        <v>4.0947776889102734E-2</v>
      </c>
    </row>
    <row r="121" spans="17:19" x14ac:dyDescent="0.2">
      <c r="Q121" t="s">
        <v>192</v>
      </c>
      <c r="R121" s="35">
        <f>D30</f>
        <v>1.7236800000000003</v>
      </c>
      <c r="S121" s="74">
        <f t="shared" si="28"/>
        <v>3.6757673605204071E-4</v>
      </c>
    </row>
    <row r="122" spans="17:19" x14ac:dyDescent="0.2">
      <c r="Q122" t="s">
        <v>37</v>
      </c>
      <c r="R122" s="35">
        <f>D31</f>
        <v>1161.0240000000001</v>
      </c>
      <c r="S122" s="74">
        <f t="shared" si="28"/>
        <v>0.24758969901494737</v>
      </c>
    </row>
    <row r="123" spans="17:19" x14ac:dyDescent="0.2">
      <c r="Q123" t="s">
        <v>32</v>
      </c>
      <c r="R123" s="35">
        <f>(D32/1.1)</f>
        <v>818.00827300000003</v>
      </c>
      <c r="S123" s="74">
        <f t="shared" si="28"/>
        <v>0.17444120199393542</v>
      </c>
    </row>
    <row r="124" spans="17:19" x14ac:dyDescent="0.2">
      <c r="Q124" s="79" t="s">
        <v>88</v>
      </c>
      <c r="R124" s="35">
        <f>D41</f>
        <v>16.070399999999999</v>
      </c>
      <c r="S124" s="80">
        <f t="shared" si="28"/>
        <v>3.4270312233423334E-3</v>
      </c>
    </row>
    <row r="125" spans="17:19" x14ac:dyDescent="0.2">
      <c r="Q125" s="79" t="s">
        <v>92</v>
      </c>
      <c r="R125" s="35">
        <f>D42</f>
        <v>20.143800000000002</v>
      </c>
      <c r="S125" s="80">
        <f t="shared" si="28"/>
        <v>4.2956884431478567E-3</v>
      </c>
    </row>
    <row r="126" spans="17:19" x14ac:dyDescent="0.2">
      <c r="Q126" s="6" t="s">
        <v>80</v>
      </c>
      <c r="R126" s="81">
        <f>SUM(R116:R125)</f>
        <v>4424.865548971602</v>
      </c>
      <c r="S126" s="84">
        <f t="shared" si="28"/>
        <v>0.94360765104897804</v>
      </c>
    </row>
    <row r="128" spans="17:19" x14ac:dyDescent="0.2">
      <c r="Q128" s="6" t="s">
        <v>193</v>
      </c>
      <c r="R128" s="77">
        <f>R126+R102+R97+R113</f>
        <v>4689.306560891725</v>
      </c>
    </row>
  </sheetData>
  <mergeCells count="1">
    <mergeCell ref="Y4:AC4"/>
  </mergeCells>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H10"/>
  <sheetViews>
    <sheetView zoomScaleNormal="100" workbookViewId="0">
      <selection activeCell="C4" sqref="C4"/>
    </sheetView>
  </sheetViews>
  <sheetFormatPr defaultColWidth="11.5703125" defaultRowHeight="12.75" x14ac:dyDescent="0.2"/>
  <sheetData>
    <row r="4" spans="3:8" ht="15" x14ac:dyDescent="0.25">
      <c r="C4" s="44" t="s">
        <v>194</v>
      </c>
      <c r="D4" s="46">
        <v>1</v>
      </c>
      <c r="E4" s="46">
        <v>2</v>
      </c>
      <c r="F4" s="46">
        <v>3</v>
      </c>
      <c r="G4" s="46">
        <v>4</v>
      </c>
      <c r="H4" s="46">
        <v>5</v>
      </c>
    </row>
    <row r="5" spans="3:8" ht="15" x14ac:dyDescent="0.25">
      <c r="C5" s="85" t="s">
        <v>11</v>
      </c>
      <c r="D5" s="22">
        <v>1</v>
      </c>
      <c r="E5" s="22">
        <v>1.05</v>
      </c>
      <c r="F5" s="22">
        <v>1.1000000000000001</v>
      </c>
      <c r="G5" s="22">
        <v>1.2</v>
      </c>
      <c r="H5" s="22">
        <v>1.5</v>
      </c>
    </row>
    <row r="6" spans="3:8" ht="15" x14ac:dyDescent="0.25">
      <c r="C6" s="85" t="s">
        <v>12</v>
      </c>
      <c r="D6" s="22">
        <v>1</v>
      </c>
      <c r="E6" s="22">
        <v>1.02</v>
      </c>
      <c r="F6" s="22">
        <v>1.05</v>
      </c>
      <c r="G6" s="22">
        <v>1.1000000000000001</v>
      </c>
      <c r="H6" s="22">
        <v>1.2</v>
      </c>
    </row>
    <row r="7" spans="3:8" ht="15" x14ac:dyDescent="0.25">
      <c r="C7" s="85" t="s">
        <v>13</v>
      </c>
      <c r="D7" s="22">
        <v>1</v>
      </c>
      <c r="E7" s="22">
        <v>1.03</v>
      </c>
      <c r="F7" s="22">
        <v>1.1000000000000001</v>
      </c>
      <c r="G7" s="22">
        <v>1.2</v>
      </c>
      <c r="H7" s="22">
        <v>1.5</v>
      </c>
    </row>
    <row r="8" spans="3:8" ht="15" x14ac:dyDescent="0.25">
      <c r="C8" s="85" t="s">
        <v>14</v>
      </c>
      <c r="D8" s="22">
        <v>1</v>
      </c>
      <c r="E8" s="22">
        <v>1.01</v>
      </c>
      <c r="F8" s="22">
        <v>1.02</v>
      </c>
      <c r="G8" s="22">
        <v>1.05</v>
      </c>
      <c r="H8" s="22">
        <v>1.1000000000000001</v>
      </c>
    </row>
    <row r="9" spans="3:8" ht="15" x14ac:dyDescent="0.25">
      <c r="C9" s="85" t="s">
        <v>15</v>
      </c>
      <c r="D9" s="22">
        <v>1</v>
      </c>
      <c r="E9" s="22">
        <v>1.1000000000000001</v>
      </c>
      <c r="F9" s="22">
        <v>1.2</v>
      </c>
      <c r="G9" s="22">
        <v>1.5</v>
      </c>
      <c r="H9" s="22">
        <v>2</v>
      </c>
    </row>
    <row r="10" spans="3:8" ht="15" x14ac:dyDescent="0.25">
      <c r="C10" s="44" t="s">
        <v>195</v>
      </c>
      <c r="D10" s="86">
        <v>1</v>
      </c>
      <c r="E10" s="86">
        <v>1.02</v>
      </c>
      <c r="F10" s="86">
        <v>1.05</v>
      </c>
      <c r="G10" s="86">
        <v>1.1000000000000001</v>
      </c>
      <c r="H10" s="86">
        <v>1.2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6417</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Pedigree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ARCTech007</cp:lastModifiedBy>
  <cp:revision>32</cp:revision>
  <dcterms:created xsi:type="dcterms:W3CDTF">2023-04-19T11:57:51Z</dcterms:created>
  <dcterms:modified xsi:type="dcterms:W3CDTF">2023-05-12T04:49:55Z</dcterms:modified>
  <dc:language>en-US</dc:language>
</cp:coreProperties>
</file>