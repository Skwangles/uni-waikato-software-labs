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 1-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<sst xmlns="http://schemas.openxmlformats.org/spreadsheetml/2006/main" count="64" uniqueCount="27">
  <si>
    <t xml:space="preserve">Name:</t>
  </si>
  <si>
    <t xml:space="preserve">(Note: fill in all the grey cells with your measurements and answers)</t>
  </si>
  <si>
    <t xml:space="preserve">Question 1: What is the optimal workgroup size?</t>
  </si>
  <si>
    <t xml:space="preserve">Answer:</t>
  </si>
  <si>
    <t xml:space="preserve">Total Tasks:</t>
  </si>
  <si>
    <t xml:space="preserve">Repeats/task:</t>
  </si>
  <si>
    <t xml:space="preserve"> </t>
  </si>
  <si>
    <t xml:space="preserve">Work Group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</si>
  <si>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</si>
  <si>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</si>
  <si>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</si>
  <si>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</si>
  <si>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</si>
  <si>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Average (secs)</t>
  </si>
  <si>
    <t xml:space="preserve">StdDev</t>
  </si>
  <si>
    <t xml:space="preserve">Question 2: Over what range of tasks is your time/dart roughly constant?</t>
  </si>
  <si>
    <t xml:space="preserve">8192 – 32768</t>
  </si>
  <si>
    <t xml:space="preserve">TODO: add a graph here to show your results.</t>
  </si>
  <si>
    <t xml:space="preserve">workgroup size:</t>
  </si>
  <si>
    <t xml:space="preserve">repeats/task:</t>
  </si>
  <si>
    <t xml:space="preserve">Tasks</t>
  </si>
  <si>
    <t xml:space="preserve">Average (nano)</t>
  </si>
  <si>
    <t xml:space="preserve">Question 3: Are ints faster than floats?  What speedup do they give?</t>
  </si>
  <si>
    <t xml:space="preserve">1.1X</t>
  </si>
  <si>
    <t xml:space="preserve">times faster</t>
  </si>
  <si>
    <t xml:space="preserve">SPEED UP CALCULATION</t>
  </si>
  <si>
    <t xml:space="preserve">AVG Speedup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</si>
</sst>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000"/>
    <numFmt numFmtId="167" formatCode="0.0000"/>
    <numFmt numFmtId="168" formatCode="0.00E+00"/>
    <numFmt numFmtId="169" formatCode="0.0E+00"/>
    <numFmt numFmtId="170" formatCode="0.0000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Monospace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3B3B3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5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Average exectution time per dart (nanoseconds)</a:t>
            </a:r>
          </a:p>
        </c:rich>
      </c:tx>
      <c:layout>
        <c:manualLayout>
          <c:xMode val="edge"/>
          <c:yMode val="edge"/>
          <c:x val="0.212367970732283"/>
          <c:y val="0.0434326479227864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'Questions 1-3'!$G$23</c:f>
              <c:strCache>
                <c:ptCount val="1"/>
                <c:pt idx="0">
                  <c:v>Average (nano)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'Questions 1-3'!$A$24:$A$31</c:f>
              <c:strCache>
                <c:ptCount val="8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</c:strCache>
            </c:strRef>
          </c:cat>
          <c:val>
            <c:numRef>
              <c:f>'Questions 1-3'!$G$24:$G$31</c:f>
              <c:numCache>
                <c:formatCode>General</c:formatCode>
                <c:ptCount val="8"/>
                <c:pt idx="0">
                  <c:v>1.19220652734375</c:v>
                </c:pt>
                <c:pt idx="1">
                  <c:v>0.60316912109375</c:v>
                </c:pt>
                <c:pt idx="2">
                  <c:v>0.301966734375</c:v>
                </c:pt>
                <c:pt idx="3">
                  <c:v>0.158050915527344</c:v>
                </c:pt>
                <c:pt idx="4">
                  <c:v>0.0942348403320312</c:v>
                </c:pt>
                <c:pt idx="5">
                  <c:v>0.0673972401123047</c:v>
                </c:pt>
                <c:pt idx="6">
                  <c:v>0.0660616551513672</c:v>
                </c:pt>
                <c:pt idx="7">
                  <c:v>0.0521964376220703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724326"/>
        <c:axId val="6997863"/>
      </c:lineChart>
      <c:catAx>
        <c:axId val="7772432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97863"/>
        <c:crosses val="autoZero"/>
        <c:auto val="1"/>
        <c:lblAlgn val="ctr"/>
        <c:lblOffset val="100"/>
        <c:noMultiLvlLbl val="0"/>
      </c:catAx>
      <c:valAx>
        <c:axId val="69978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Nanoseconds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7243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Average execution time per dart (Integer)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'Questions 1-3'!$G$37</c:f>
              <c:strCache>
                <c:ptCount val="1"/>
                <c:pt idx="0">
                  <c:v>Average (nano)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'Questions 1-3'!$A$38:$A$45</c:f>
              <c:strCache>
                <c:ptCount val="8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  <c:pt idx="6">
                  <c:v>16384</c:v>
                </c:pt>
                <c:pt idx="7">
                  <c:v>32768</c:v>
                </c:pt>
              </c:strCache>
            </c:strRef>
          </c:cat>
          <c:val>
            <c:numRef>
              <c:f>'Questions 1-3'!$G$38:$G$45</c:f>
              <c:numCache>
                <c:formatCode>General</c:formatCode>
                <c:ptCount val="8"/>
                <c:pt idx="0">
                  <c:v>1.1634409296875</c:v>
                </c:pt>
                <c:pt idx="1">
                  <c:v>0.590294333984375</c:v>
                </c:pt>
                <c:pt idx="2">
                  <c:v>0.300440844726563</c:v>
                </c:pt>
                <c:pt idx="3">
                  <c:v>0.151621462890625</c:v>
                </c:pt>
                <c:pt idx="4">
                  <c:v>0.0952344208984375</c:v>
                </c:pt>
                <c:pt idx="5">
                  <c:v>0.0564861947021484</c:v>
                </c:pt>
                <c:pt idx="6">
                  <c:v>0.0523300853271484</c:v>
                </c:pt>
                <c:pt idx="7">
                  <c:v>0.04117075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159462"/>
        <c:axId val="97669003"/>
      </c:lineChart>
      <c:catAx>
        <c:axId val="3615946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669003"/>
        <c:crosses val="autoZero"/>
        <c:auto val="1"/>
        <c:lblAlgn val="ctr"/>
        <c:lblOffset val="100"/>
        <c:noMultiLvlLbl val="0"/>
      </c:catAx>
      <c:valAx>
        <c:axId val="97669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Nanoseconds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1594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4680</xdr:colOff>
      <xdr:row>9</xdr:row>
      <xdr:rowOff>103320</xdr:rowOff>
    </xdr:from>
    <xdr:to>
      <xdr:col>15</xdr:col>
      <xdr:colOff>660240</xdr:colOff>
      <xdr:row>30</xdr:row>
      <xdr:rowOff>133920</xdr:rowOff>
    </xdr:to>
    <xdr:graphicFrame>
      <xdr:nvGraphicFramePr>
        <xdr:cNvPr id="0" name=""/>
        <xdr:cNvGraphicFramePr/>
      </xdr:nvGraphicFramePr>
      <xdr:xfrm>
        <a:off x="5750280" y="1627200"/>
        <a:ext cx="6100560" cy="343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44280</xdr:colOff>
      <xdr:row>32</xdr:row>
      <xdr:rowOff>142920</xdr:rowOff>
    </xdr:from>
    <xdr:to>
      <xdr:col>15</xdr:col>
      <xdr:colOff>358920</xdr:colOff>
      <xdr:row>52</xdr:row>
      <xdr:rowOff>144360</xdr:rowOff>
    </xdr:to>
    <xdr:graphicFrame>
      <xdr:nvGraphicFramePr>
        <xdr:cNvPr id="1" name=""/>
        <xdr:cNvGraphicFramePr/>
      </xdr:nvGraphicFramePr>
      <xdr:xfrm>
        <a:off x="5789880" y="5391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20" activeCellId="0" sqref="F20"/>
    </sheetView>
  </sheetViews>
  <sheetFormatPr defaultColWidth="11.0390625" defaultRowHeight="12.7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0.12"/>
    <col collapsed="false" customWidth="true" hidden="false" outlineLevel="0" max="4" min="3" style="0" width="9.29"/>
    <col collapsed="false" customWidth="true" hidden="false" outlineLevel="0" max="5" min="5" style="0" width="9"/>
    <col collapsed="false" customWidth="true" hidden="false" outlineLevel="0" max="6" min="6" style="0" width="9.59"/>
    <col collapsed="false" customWidth="true" hidden="false" outlineLevel="0" max="7" min="7" style="1" width="10.85"/>
    <col collapsed="false" customWidth="true" hidden="false" outlineLevel="0" max="8" min="8" style="1" width="7.57"/>
  </cols>
  <sheetData>
    <row r="1" s="3" customFormat="true" ht="18" hidden="false" customHeight="false" outlineLevel="0" collapsed="false">
      <c r="A1" s="2" t="s">
        <v>0</v>
      </c>
      <c r="F1" s="3" t="s">
        <v>1</v>
      </c>
      <c r="G1" s="4"/>
      <c r="H1" s="4"/>
    </row>
    <row r="3" customFormat="false" ht="12.75" hidden="false" customHeight="false" outlineLevel="0" collapsed="false">
      <c r="A3" s="5" t="s">
        <v>2</v>
      </c>
      <c r="B3" s="5"/>
    </row>
    <row r="4" customFormat="false" ht="12.75" hidden="false" customHeight="false" outlineLevel="0" collapsed="false">
      <c r="A4" s="5" t="s">
        <v>3</v>
      </c>
      <c r="B4" s="6" t="n">
        <v>128</v>
      </c>
    </row>
    <row r="5" customFormat="false" ht="12.75" hidden="false" customHeight="false" outlineLevel="0" collapsed="false">
      <c r="A5" s="0" t="s">
        <v>4</v>
      </c>
      <c r="B5" s="7" t="n">
        <v>32768</v>
      </c>
    </row>
    <row r="6" customFormat="false" ht="12.75" hidden="false" customHeight="false" outlineLevel="0" collapsed="false">
      <c r="A6" s="0" t="s">
        <v>5</v>
      </c>
      <c r="B6" s="7" t="n">
        <v>200000</v>
      </c>
      <c r="D6" s="0" t="s">
        <v>6</v>
      </c>
    </row>
    <row r="7" customFormat="false" ht="12.75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10</v>
      </c>
      <c r="E7" s="0" t="s">
        <v>11</v>
      </c>
      <c r="F7" s="0" t="s">
        <v>12</v>
      </c>
      <c r="G7" s="1" t="s">
        <v>13</v>
      </c>
      <c r="H7" s="1" t="s">
        <v>14</v>
      </c>
      <c r="R7" s="0" t="s">
        <v>6</v>
      </c>
    </row>
    <row r="8" customFormat="false" ht="12.75" hidden="false" customHeight="false" outlineLevel="0" collapsed="false">
      <c r="A8" s="0" t="n">
        <v>2</v>
      </c>
      <c r="B8" s="8" t="n">
        <v>10953056</v>
      </c>
      <c r="C8" s="8" t="n">
        <v>10732311</v>
      </c>
      <c r="D8" s="8" t="n">
        <v>10804694</v>
      </c>
      <c r="E8" s="8" t="n">
        <v>10770371</v>
      </c>
      <c r="F8" s="8" t="n">
        <v>10989331</v>
      </c>
      <c r="G8" s="9" t="n">
        <f aca="false">AVERAGE(B8:F8)/1000000</f>
        <v>10.8499526</v>
      </c>
      <c r="H8" s="1" t="n">
        <f aca="false">STDEV(B8:F8)/1000000</f>
        <v>0.114321659650742</v>
      </c>
      <c r="R8" s="0" t="s">
        <v>6</v>
      </c>
    </row>
    <row r="9" customFormat="false" ht="12.75" hidden="false" customHeight="false" outlineLevel="0" collapsed="false">
      <c r="A9" s="0" t="n">
        <v>4</v>
      </c>
      <c r="B9" s="8" t="n">
        <v>3312765</v>
      </c>
      <c r="C9" s="8" t="n">
        <v>3319739</v>
      </c>
      <c r="D9" s="8" t="n">
        <v>3318357</v>
      </c>
      <c r="E9" s="8" t="n">
        <v>3326555</v>
      </c>
      <c r="F9" s="8" t="n">
        <v>3326850</v>
      </c>
      <c r="G9" s="9" t="n">
        <f aca="false">AVERAGE(B9:F9)/1000000</f>
        <v>3.3208532</v>
      </c>
      <c r="H9" s="1" t="n">
        <f aca="false">STDEV(B9:F9)/1000000</f>
        <v>0.00594482061966549</v>
      </c>
      <c r="R9" s="0" t="s">
        <v>6</v>
      </c>
    </row>
    <row r="10" customFormat="false" ht="12.75" hidden="false" customHeight="false" outlineLevel="0" collapsed="false">
      <c r="A10" s="0" t="n">
        <v>8</v>
      </c>
      <c r="B10" s="8" t="n">
        <v>1384493</v>
      </c>
      <c r="C10" s="8" t="n">
        <v>1383232</v>
      </c>
      <c r="D10" s="8" t="n">
        <v>1377678</v>
      </c>
      <c r="E10" s="8" t="n">
        <v>1383909</v>
      </c>
      <c r="F10" s="8" t="n">
        <v>1396526</v>
      </c>
      <c r="G10" s="9" t="n">
        <f aca="false">AVERAGE(B10:F10)/1000000</f>
        <v>1.3851676</v>
      </c>
      <c r="H10" s="1" t="n">
        <f aca="false">STDEV(B10:F10)/1000000</f>
        <v>0.00690820282707449</v>
      </c>
      <c r="R10" s="0" t="s">
        <v>6</v>
      </c>
    </row>
    <row r="11" customFormat="false" ht="12.75" hidden="false" customHeight="false" outlineLevel="0" collapsed="false">
      <c r="A11" s="0" t="n">
        <v>16</v>
      </c>
      <c r="B11" s="8" t="n">
        <v>672141</v>
      </c>
      <c r="C11" s="8" t="n">
        <v>674174</v>
      </c>
      <c r="D11" s="8" t="n">
        <v>662727</v>
      </c>
      <c r="E11" s="8" t="n">
        <v>662826</v>
      </c>
      <c r="F11" s="8" t="n">
        <v>663998</v>
      </c>
      <c r="G11" s="9" t="n">
        <f aca="false">AVERAGE(B11:F11)/1000000</f>
        <v>0.6671732</v>
      </c>
      <c r="H11" s="1" t="n">
        <f aca="false">STDEV(B11:F11)/1000000</f>
        <v>0.00553260731482002</v>
      </c>
      <c r="R11" s="0" t="s">
        <v>6</v>
      </c>
    </row>
    <row r="12" customFormat="false" ht="12.75" hidden="false" customHeight="false" outlineLevel="0" collapsed="false">
      <c r="A12" s="0" t="n">
        <v>32</v>
      </c>
      <c r="B12" s="8" t="n">
        <v>352309</v>
      </c>
      <c r="C12" s="8" t="n">
        <v>354258</v>
      </c>
      <c r="D12" s="8" t="n">
        <v>353792</v>
      </c>
      <c r="E12" s="8" t="n">
        <v>353849</v>
      </c>
      <c r="F12" s="8" t="n">
        <v>353402</v>
      </c>
      <c r="G12" s="9" t="n">
        <f aca="false">AVERAGE(B12:F12)/1000000</f>
        <v>0.353522</v>
      </c>
      <c r="H12" s="1" t="n">
        <f aca="false">STDEV(B12:F12)/1000000</f>
        <v>0.000742848234836699</v>
      </c>
      <c r="R12" s="0" t="s">
        <v>6</v>
      </c>
    </row>
    <row r="13" customFormat="false" ht="12.75" hidden="false" customHeight="false" outlineLevel="0" collapsed="false">
      <c r="A13" s="10" t="n">
        <v>64</v>
      </c>
      <c r="B13" s="8" t="n">
        <v>348127</v>
      </c>
      <c r="C13" s="8" t="n">
        <v>347764</v>
      </c>
      <c r="D13" s="8" t="n">
        <v>348303</v>
      </c>
      <c r="E13" s="8" t="n">
        <v>348185</v>
      </c>
      <c r="F13" s="8" t="n">
        <v>347933</v>
      </c>
      <c r="G13" s="9" t="n">
        <f aca="false">AVERAGE(B13:F13)/1000000</f>
        <v>0.3480624</v>
      </c>
      <c r="H13" s="1" t="n">
        <f aca="false">STDEV(B13:F13)/1000000</f>
        <v>0.00021382188849601</v>
      </c>
      <c r="R13" s="0" t="s">
        <v>6</v>
      </c>
    </row>
    <row r="14" customFormat="false" ht="12.75" hidden="false" customHeight="false" outlineLevel="0" collapsed="false">
      <c r="A14" s="0" t="n">
        <f aca="false">A13*2</f>
        <v>128</v>
      </c>
      <c r="B14" s="8" t="n">
        <v>347611</v>
      </c>
      <c r="C14" s="8" t="n">
        <v>348005</v>
      </c>
      <c r="D14" s="8" t="n">
        <v>348479</v>
      </c>
      <c r="E14" s="8" t="n">
        <v>348491</v>
      </c>
      <c r="F14" s="8" t="n">
        <v>340267</v>
      </c>
      <c r="G14" s="9" t="n">
        <f aca="false">AVERAGE(B14:F14)/1000000</f>
        <v>0.3465706</v>
      </c>
      <c r="H14" s="1" t="n">
        <f aca="false">STDEV(B14:F14)/1000000</f>
        <v>0.00354278263516124</v>
      </c>
      <c r="R14" s="0" t="s">
        <v>6</v>
      </c>
    </row>
    <row r="15" customFormat="false" ht="12.75" hidden="false" customHeight="false" outlineLevel="0" collapsed="false">
      <c r="A15" s="0" t="n">
        <f aca="false">A14*2</f>
        <v>256</v>
      </c>
      <c r="B15" s="8" t="n">
        <v>348014</v>
      </c>
      <c r="C15" s="8" t="n">
        <v>348355</v>
      </c>
      <c r="D15" s="8" t="n">
        <v>348651</v>
      </c>
      <c r="E15" s="8" t="n">
        <v>347835</v>
      </c>
      <c r="F15" s="8" t="n">
        <v>347938</v>
      </c>
      <c r="G15" s="9" t="n">
        <f aca="false">AVERAGE(B15:F15)/1000000</f>
        <v>0.3481586</v>
      </c>
      <c r="H15" s="1" t="n">
        <f aca="false">STDEV(B15:F15)/1000000</f>
        <v>0.000337387462719052</v>
      </c>
      <c r="R15" s="0" t="s">
        <v>6</v>
      </c>
    </row>
    <row r="16" customFormat="false" ht="12.75" hidden="false" customHeight="false" outlineLevel="0" collapsed="false">
      <c r="A16" s="0" t="n">
        <f aca="false">A15*2</f>
        <v>512</v>
      </c>
      <c r="B16" s="8" t="n">
        <v>347936</v>
      </c>
      <c r="C16" s="8" t="n">
        <v>348877</v>
      </c>
      <c r="D16" s="8" t="n">
        <v>347682</v>
      </c>
      <c r="E16" s="8" t="n">
        <v>348185</v>
      </c>
      <c r="F16" s="8" t="n">
        <v>348638</v>
      </c>
      <c r="G16" s="9" t="n">
        <f aca="false">AVERAGE(B16:F16)/1000000</f>
        <v>0.3482636</v>
      </c>
      <c r="H16" s="1" t="n">
        <f aca="false">STDEV(B16:F16)/1000000</f>
        <v>0.000491984044456728</v>
      </c>
    </row>
    <row r="17" customFormat="false" ht="12.75" hidden="false" customHeight="false" outlineLevel="0" collapsed="false">
      <c r="A17" s="0" t="n">
        <v>1024</v>
      </c>
      <c r="B17" s="8" t="n">
        <v>378873</v>
      </c>
      <c r="C17" s="8" t="n">
        <v>378774</v>
      </c>
      <c r="D17" s="8" t="n">
        <v>379308</v>
      </c>
      <c r="E17" s="8" t="n">
        <v>378810</v>
      </c>
      <c r="F17" s="8" t="n">
        <v>379045</v>
      </c>
      <c r="G17" s="9" t="n">
        <f aca="false">AVERAGE(B17:F17)/1000000</f>
        <v>0.378962</v>
      </c>
      <c r="H17" s="1" t="n">
        <f aca="false">STDEV(B17:F17)/1000000</f>
        <v>0.000219644030194312</v>
      </c>
      <c r="R17" s="0" t="s">
        <v>6</v>
      </c>
    </row>
    <row r="18" customFormat="false" ht="12.75" hidden="false" customHeight="false" outlineLevel="0" collapsed="false">
      <c r="A18" s="11"/>
      <c r="B18" s="12"/>
      <c r="C18" s="12"/>
      <c r="D18" s="12"/>
      <c r="E18" s="12"/>
      <c r="F18" s="12"/>
      <c r="R18" s="0" t="s">
        <v>6</v>
      </c>
    </row>
    <row r="19" customFormat="false" ht="12.75" hidden="false" customHeight="false" outlineLevel="0" collapsed="false">
      <c r="A19" s="5" t="s">
        <v>15</v>
      </c>
      <c r="B19" s="5"/>
      <c r="R19" s="0" t="s">
        <v>6</v>
      </c>
    </row>
    <row r="20" customFormat="false" ht="12.75" hidden="false" customHeight="false" outlineLevel="0" collapsed="false">
      <c r="A20" s="5" t="s">
        <v>3</v>
      </c>
      <c r="B20" s="6" t="s">
        <v>16</v>
      </c>
      <c r="I20" s="7" t="s">
        <v>17</v>
      </c>
      <c r="J20" s="7"/>
      <c r="K20" s="7"/>
      <c r="L20" s="7"/>
      <c r="R20" s="0" t="s">
        <v>6</v>
      </c>
    </row>
    <row r="21" customFormat="false" ht="12.75" hidden="false" customHeight="false" outlineLevel="0" collapsed="false">
      <c r="A21" s="13" t="s">
        <v>18</v>
      </c>
      <c r="B21" s="5" t="n">
        <f aca="false">B4</f>
        <v>128</v>
      </c>
      <c r="I21" s="7"/>
      <c r="J21" s="7"/>
      <c r="K21" s="7"/>
      <c r="L21" s="7"/>
      <c r="R21" s="0" t="s">
        <v>6</v>
      </c>
    </row>
    <row r="22" customFormat="false" ht="12.75" hidden="false" customHeight="false" outlineLevel="0" collapsed="false">
      <c r="A22" s="0" t="s">
        <v>19</v>
      </c>
      <c r="B22" s="7" t="n">
        <v>200000</v>
      </c>
      <c r="I22" s="7"/>
      <c r="J22" s="7"/>
      <c r="K22" s="7"/>
      <c r="L22" s="7"/>
      <c r="R22" s="0" t="s">
        <v>6</v>
      </c>
    </row>
    <row r="23" customFormat="false" ht="12.75" hidden="false" customHeight="false" outlineLevel="0" collapsed="false">
      <c r="A23" s="0" t="s">
        <v>20</v>
      </c>
      <c r="B23" s="0" t="s">
        <v>8</v>
      </c>
      <c r="C23" s="0" t="s">
        <v>9</v>
      </c>
      <c r="D23" s="0" t="s">
        <v>10</v>
      </c>
      <c r="E23" s="0" t="s">
        <v>11</v>
      </c>
      <c r="F23" s="0" t="s">
        <v>12</v>
      </c>
      <c r="G23" s="1" t="s">
        <v>21</v>
      </c>
      <c r="H23" s="1" t="s">
        <v>14</v>
      </c>
      <c r="I23" s="7"/>
      <c r="J23" s="7"/>
      <c r="K23" s="7"/>
      <c r="L23" s="7"/>
      <c r="R23" s="0" t="s">
        <v>6</v>
      </c>
    </row>
    <row r="24" customFormat="false" ht="12.75" hidden="false" customHeight="false" outlineLevel="0" collapsed="false">
      <c r="A24" s="0" t="n">
        <v>256</v>
      </c>
      <c r="B24" s="8" t="n">
        <v>1.24533806640625</v>
      </c>
      <c r="C24" s="8" t="n">
        <v>1.18753427734375</v>
      </c>
      <c r="D24" s="8" t="n">
        <v>1.1550751953125</v>
      </c>
      <c r="E24" s="8" t="n">
        <v>1.1710457421875</v>
      </c>
      <c r="F24" s="8" t="n">
        <v>1.20203935546875</v>
      </c>
      <c r="G24" s="14" t="n">
        <f aca="false">AVERAGE(B24:F24)</f>
        <v>1.19220652734375</v>
      </c>
      <c r="H24" s="9" t="n">
        <f aca="false">STDEV(B24:F24)/1000000</f>
        <v>3.45253150564632E-008</v>
      </c>
      <c r="I24" s="7"/>
      <c r="J24" s="7"/>
      <c r="K24" s="7"/>
      <c r="L24" s="7"/>
      <c r="R24" s="0" t="s">
        <v>6</v>
      </c>
    </row>
    <row r="25" customFormat="false" ht="12.75" hidden="false" customHeight="false" outlineLevel="0" collapsed="false">
      <c r="A25" s="0" t="n">
        <f aca="false">256*2</f>
        <v>512</v>
      </c>
      <c r="B25" s="15" t="n">
        <v>0.597714892578125</v>
      </c>
      <c r="C25" s="16" t="n">
        <v>0.623801552734375</v>
      </c>
      <c r="D25" s="16" t="n">
        <v>0.595803173828125</v>
      </c>
      <c r="E25" s="16" t="n">
        <v>0.599211455078125</v>
      </c>
      <c r="F25" s="15" t="n">
        <v>0.59931453125</v>
      </c>
      <c r="G25" s="14" t="n">
        <f aca="false">AVERAGE(B25:F25)</f>
        <v>0.60316912109375</v>
      </c>
      <c r="H25" s="9" t="n">
        <f aca="false">STDEV(B25:F25)/1000000</f>
        <v>1.1621359713696E-008</v>
      </c>
      <c r="I25" s="7"/>
      <c r="J25" s="7"/>
      <c r="K25" s="7"/>
      <c r="L25" s="7"/>
      <c r="R25" s="0" t="s">
        <v>6</v>
      </c>
    </row>
    <row r="26" customFormat="false" ht="12.75" hidden="false" customHeight="false" outlineLevel="0" collapsed="false">
      <c r="A26" s="0" t="n">
        <f aca="false">A25*2</f>
        <v>1024</v>
      </c>
      <c r="B26" s="15" t="n">
        <v>0.300750600585937</v>
      </c>
      <c r="C26" s="16" t="n">
        <v>0.302060805664062</v>
      </c>
      <c r="D26" s="16" t="n">
        <v>0.301749443359375</v>
      </c>
      <c r="E26" s="16" t="n">
        <v>0.301992026367187</v>
      </c>
      <c r="F26" s="15" t="n">
        <v>0.303280795898437</v>
      </c>
      <c r="G26" s="14" t="n">
        <f aca="false">AVERAGE(B26:F26)</f>
        <v>0.301966734375</v>
      </c>
      <c r="H26" s="9" t="n">
        <f aca="false">STDEV(B26:F26)/1000000</f>
        <v>9.0311178129349E-010</v>
      </c>
      <c r="I26" s="7"/>
      <c r="J26" s="7"/>
      <c r="K26" s="7"/>
      <c r="L26" s="7"/>
    </row>
    <row r="27" customFormat="false" ht="12.75" hidden="false" customHeight="false" outlineLevel="0" collapsed="false">
      <c r="A27" s="0" t="n">
        <f aca="false">A26*2</f>
        <v>2048</v>
      </c>
      <c r="B27" s="15" t="n">
        <v>0.156295339355469</v>
      </c>
      <c r="C27" s="16" t="n">
        <v>0.159248029785156</v>
      </c>
      <c r="D27" s="16" t="n">
        <v>0.160752978515625</v>
      </c>
      <c r="E27" s="16" t="n">
        <v>0.159758940429687</v>
      </c>
      <c r="F27" s="15" t="n">
        <v>0.154199289550781</v>
      </c>
      <c r="G27" s="14" t="n">
        <f aca="false">AVERAGE(B27:F27)</f>
        <v>0.158050915527344</v>
      </c>
      <c r="H27" s="9" t="n">
        <f aca="false">STDEV(B27:F27)/1000000</f>
        <v>2.71885299181981E-009</v>
      </c>
      <c r="I27" s="7"/>
      <c r="J27" s="7"/>
      <c r="K27" s="7"/>
      <c r="L27" s="7"/>
    </row>
    <row r="28" customFormat="false" ht="12.75" hidden="false" customHeight="false" outlineLevel="0" collapsed="false">
      <c r="A28" s="0" t="n">
        <f aca="false">A27*2</f>
        <v>4096</v>
      </c>
      <c r="B28" s="15" t="n">
        <v>0.0935132434082031</v>
      </c>
      <c r="C28" s="16" t="n">
        <v>0.0938162170410156</v>
      </c>
      <c r="D28" s="16" t="n">
        <v>0.0942914440917969</v>
      </c>
      <c r="E28" s="16" t="n">
        <v>0.0947016613769531</v>
      </c>
      <c r="F28" s="15" t="n">
        <v>0.0948516357421875</v>
      </c>
      <c r="G28" s="14" t="n">
        <f aca="false">AVERAGE(B28:F28)</f>
        <v>0.0942348403320312</v>
      </c>
      <c r="H28" s="9" t="n">
        <f aca="false">STDEV(B28:F28)/1000000</f>
        <v>5.6954148923725E-010</v>
      </c>
      <c r="I28" s="7"/>
      <c r="J28" s="7"/>
      <c r="K28" s="7"/>
      <c r="L28" s="7"/>
    </row>
    <row r="29" customFormat="false" ht="12.75" hidden="false" customHeight="false" outlineLevel="0" collapsed="false">
      <c r="A29" s="0" t="n">
        <f aca="false">A28*2</f>
        <v>8192</v>
      </c>
      <c r="B29" s="15" t="n">
        <v>0.0747135260009766</v>
      </c>
      <c r="C29" s="16" t="n">
        <v>0.0722973156738281</v>
      </c>
      <c r="D29" s="16" t="n">
        <v>0.065964248046875</v>
      </c>
      <c r="E29" s="16" t="n">
        <v>0.0630106433105469</v>
      </c>
      <c r="F29" s="15" t="n">
        <v>0.0610004675292969</v>
      </c>
      <c r="G29" s="14" t="n">
        <f aca="false">AVERAGE(B29:F29)</f>
        <v>0.0673972401123047</v>
      </c>
      <c r="H29" s="9" t="n">
        <f aca="false">STDEV(B29:F29)/1000000</f>
        <v>5.91086239378222E-009</v>
      </c>
      <c r="I29" s="7"/>
      <c r="J29" s="7"/>
      <c r="K29" s="7"/>
      <c r="L29" s="7"/>
    </row>
    <row r="30" customFormat="false" ht="12.75" hidden="false" customHeight="false" outlineLevel="0" collapsed="false">
      <c r="A30" s="0" t="n">
        <f aca="false">A29*2</f>
        <v>16384</v>
      </c>
      <c r="B30" s="15" t="n">
        <v>0.0666101602172852</v>
      </c>
      <c r="C30" s="16" t="n">
        <v>0.0664545571899414</v>
      </c>
      <c r="D30" s="16" t="n">
        <v>0.0665674462890625</v>
      </c>
      <c r="E30" s="16" t="n">
        <v>0.0664785906982422</v>
      </c>
      <c r="F30" s="15" t="n">
        <v>0.0641975213623047</v>
      </c>
      <c r="G30" s="14" t="n">
        <f aca="false">AVERAGE(B30:F30)</f>
        <v>0.0660616551513672</v>
      </c>
      <c r="H30" s="9" t="n">
        <f aca="false">STDEV(B30:F30)/1000000</f>
        <v>1.04401682553456E-009</v>
      </c>
      <c r="I30" s="7"/>
      <c r="J30" s="7"/>
      <c r="K30" s="7"/>
      <c r="L30" s="7"/>
    </row>
    <row r="31" customFormat="false" ht="12.75" hidden="false" customHeight="false" outlineLevel="0" collapsed="false">
      <c r="A31" s="0" t="n">
        <f aca="false">A30*2</f>
        <v>32768</v>
      </c>
      <c r="B31" s="15" t="n">
        <v>0.0522907035827637</v>
      </c>
      <c r="C31" s="16" t="n">
        <v>0.0523271423339844</v>
      </c>
      <c r="D31" s="16" t="n">
        <v>0.0524643692016602</v>
      </c>
      <c r="E31" s="16" t="n">
        <v>0.0524959167480469</v>
      </c>
      <c r="F31" s="15" t="n">
        <v>0.0514040562438965</v>
      </c>
      <c r="G31" s="14" t="n">
        <f aca="false">AVERAGE(B31:F31)</f>
        <v>0.0521964376220703</v>
      </c>
      <c r="H31" s="9" t="n">
        <f aca="false">STDEV(B31:F31)/1000000</f>
        <v>4.51473454307071E-010</v>
      </c>
      <c r="I31" s="7"/>
      <c r="J31" s="7"/>
      <c r="K31" s="7"/>
      <c r="L31" s="7"/>
    </row>
    <row r="33" customFormat="false" ht="12.75" hidden="false" customHeight="false" outlineLevel="0" collapsed="false">
      <c r="A33" s="5" t="s">
        <v>22</v>
      </c>
      <c r="B33" s="5"/>
    </row>
    <row r="34" customFormat="false" ht="12.75" hidden="false" customHeight="false" outlineLevel="0" collapsed="false">
      <c r="A34" s="5" t="s">
        <v>3</v>
      </c>
      <c r="B34" s="6" t="s">
        <v>23</v>
      </c>
      <c r="C34" s="0" t="s">
        <v>24</v>
      </c>
      <c r="I34" s="7" t="s">
        <v>17</v>
      </c>
      <c r="J34" s="7"/>
      <c r="K34" s="7"/>
      <c r="L34" s="7"/>
    </row>
    <row r="35" customFormat="false" ht="12.75" hidden="false" customHeight="false" outlineLevel="0" collapsed="false">
      <c r="A35" s="13" t="s">
        <v>18</v>
      </c>
      <c r="B35" s="6" t="n">
        <f aca="false">B4</f>
        <v>128</v>
      </c>
      <c r="I35" s="7"/>
      <c r="J35" s="7"/>
      <c r="K35" s="7"/>
      <c r="L35" s="7"/>
    </row>
    <row r="36" customFormat="false" ht="12.75" hidden="false" customHeight="false" outlineLevel="0" collapsed="false">
      <c r="A36" s="0" t="s">
        <v>19</v>
      </c>
      <c r="B36" s="7" t="n">
        <v>200000</v>
      </c>
      <c r="I36" s="7"/>
      <c r="J36" s="7"/>
      <c r="K36" s="7"/>
      <c r="L36" s="7"/>
    </row>
    <row r="37" customFormat="false" ht="12.75" hidden="false" customHeight="false" outlineLevel="0" collapsed="false">
      <c r="A37" s="0" t="s">
        <v>20</v>
      </c>
      <c r="B37" s="0" t="s">
        <v>8</v>
      </c>
      <c r="C37" s="0" t="s">
        <v>9</v>
      </c>
      <c r="D37" s="0" t="s">
        <v>10</v>
      </c>
      <c r="E37" s="0" t="s">
        <v>11</v>
      </c>
      <c r="F37" s="0" t="s">
        <v>12</v>
      </c>
      <c r="G37" s="1" t="s">
        <v>21</v>
      </c>
      <c r="H37" s="1" t="s">
        <v>14</v>
      </c>
      <c r="I37" s="7"/>
      <c r="J37" s="7"/>
      <c r="K37" s="7"/>
      <c r="L37" s="7"/>
    </row>
    <row r="38" customFormat="false" ht="12.75" hidden="false" customHeight="false" outlineLevel="0" collapsed="false">
      <c r="A38" s="0" t="n">
        <v>256</v>
      </c>
      <c r="B38" s="8" t="n">
        <v>1.1425255859375</v>
      </c>
      <c r="C38" s="8" t="n">
        <v>1.13373419921875</v>
      </c>
      <c r="D38" s="8" t="n">
        <v>1.141667890625</v>
      </c>
      <c r="E38" s="8" t="n">
        <v>1.21100439453125</v>
      </c>
      <c r="F38" s="8" t="n">
        <v>1.188272578125</v>
      </c>
      <c r="G38" s="17" t="n">
        <f aca="false">AVERAGE(B38:F38)</f>
        <v>1.1634409296875</v>
      </c>
      <c r="H38" s="1" t="n">
        <f aca="false">STDEV(B38:F38)/1000000</f>
        <v>3.417930887762E-008</v>
      </c>
      <c r="I38" s="7"/>
      <c r="J38" s="7"/>
      <c r="K38" s="7"/>
      <c r="L38" s="7"/>
    </row>
    <row r="39" customFormat="false" ht="12.75" hidden="false" customHeight="false" outlineLevel="0" collapsed="false">
      <c r="A39" s="0" t="n">
        <f aca="false">256*2</f>
        <v>512</v>
      </c>
      <c r="B39" s="8" t="n">
        <v>0.580449521484375</v>
      </c>
      <c r="C39" s="8" t="n">
        <v>0.610017138671875</v>
      </c>
      <c r="D39" s="8" t="n">
        <v>0.6057966796875</v>
      </c>
      <c r="E39" s="8" t="n">
        <v>0.5776275</v>
      </c>
      <c r="F39" s="8" t="n">
        <v>0.577580830078125</v>
      </c>
      <c r="G39" s="17" t="n">
        <f aca="false">AVERAGE(B39:F39)</f>
        <v>0.590294333984375</v>
      </c>
      <c r="H39" s="1" t="n">
        <f aca="false">STDEV(B39:F39)/1000000</f>
        <v>1.61888383227656E-008</v>
      </c>
      <c r="I39" s="7"/>
      <c r="J39" s="7"/>
      <c r="K39" s="7"/>
      <c r="L39" s="7"/>
    </row>
    <row r="40" customFormat="false" ht="12.75" hidden="false" customHeight="false" outlineLevel="0" collapsed="false">
      <c r="A40" s="0" t="n">
        <f aca="false">A39*2</f>
        <v>1024</v>
      </c>
      <c r="B40" s="8" t="n">
        <v>0.3056855859375</v>
      </c>
      <c r="C40" s="8" t="n">
        <v>0.300569609375</v>
      </c>
      <c r="D40" s="8" t="n">
        <v>0.310559565429687</v>
      </c>
      <c r="E40" s="8" t="n">
        <v>0.296254106445312</v>
      </c>
      <c r="F40" s="8" t="n">
        <v>0.289135356445313</v>
      </c>
      <c r="G40" s="17" t="n">
        <f aca="false">AVERAGE(B40:F40)</f>
        <v>0.300440844726563</v>
      </c>
      <c r="H40" s="1" t="n">
        <f aca="false">STDEV(B40:F40)/1000000</f>
        <v>8.29540900265635E-009</v>
      </c>
      <c r="I40" s="7"/>
      <c r="J40" s="7"/>
      <c r="K40" s="7"/>
      <c r="L40" s="7"/>
    </row>
    <row r="41" customFormat="false" ht="12.75" hidden="false" customHeight="false" outlineLevel="0" collapsed="false">
      <c r="A41" s="0" t="n">
        <f aca="false">A40*2</f>
        <v>2048</v>
      </c>
      <c r="B41" s="8" t="n">
        <v>0.156977609863281</v>
      </c>
      <c r="C41" s="8" t="n">
        <v>0.148999462890625</v>
      </c>
      <c r="D41" s="8" t="n">
        <v>0.148166291503906</v>
      </c>
      <c r="E41" s="8" t="n">
        <v>0.157000590820313</v>
      </c>
      <c r="F41" s="8" t="n">
        <v>0.146963359375</v>
      </c>
      <c r="G41" s="17" t="n">
        <f aca="false">AVERAGE(B41:F41)</f>
        <v>0.151621462890625</v>
      </c>
      <c r="H41" s="1" t="n">
        <f aca="false">STDEV(B41:F41)/1000000</f>
        <v>4.9531391397405E-009</v>
      </c>
      <c r="I41" s="7"/>
      <c r="J41" s="7"/>
      <c r="K41" s="7"/>
      <c r="L41" s="7"/>
    </row>
    <row r="42" customFormat="false" ht="12.75" hidden="false" customHeight="false" outlineLevel="0" collapsed="false">
      <c r="A42" s="0" t="n">
        <f aca="false">A41*2</f>
        <v>4096</v>
      </c>
      <c r="B42" s="8" t="n">
        <v>0.0952008447265625</v>
      </c>
      <c r="C42" s="8" t="n">
        <v>0.0948903784179688</v>
      </c>
      <c r="D42" s="8" t="n">
        <v>0.0956684973144531</v>
      </c>
      <c r="E42" s="8" t="n">
        <v>0.0951575122070313</v>
      </c>
      <c r="F42" s="8" t="n">
        <v>0.0952548718261719</v>
      </c>
      <c r="G42" s="17" t="n">
        <f aca="false">AVERAGE(B42:F42)</f>
        <v>0.0952344208984375</v>
      </c>
      <c r="H42" s="1" t="n">
        <f aca="false">STDEV(B42:F42)/1000000</f>
        <v>2.80289185433925E-010</v>
      </c>
      <c r="I42" s="7"/>
      <c r="J42" s="7"/>
      <c r="K42" s="7"/>
      <c r="L42" s="7"/>
    </row>
    <row r="43" customFormat="false" ht="12.75" hidden="false" customHeight="false" outlineLevel="0" collapsed="false">
      <c r="A43" s="0" t="n">
        <f aca="false">A42*2</f>
        <v>8192</v>
      </c>
      <c r="B43" s="8" t="n">
        <v>0.0658217797851563</v>
      </c>
      <c r="C43" s="8" t="n">
        <v>0.0559651904296875</v>
      </c>
      <c r="D43" s="8" t="n">
        <v>0.0533367102050781</v>
      </c>
      <c r="E43" s="8" t="n">
        <v>0.0534880181884766</v>
      </c>
      <c r="F43" s="8" t="n">
        <v>0.0538192749023438</v>
      </c>
      <c r="G43" s="17" t="n">
        <f aca="false">AVERAGE(B43:F43)</f>
        <v>0.0564861947021484</v>
      </c>
      <c r="H43" s="1" t="n">
        <f aca="false">STDEV(B43:F43)/1000000</f>
        <v>5.32553683953578E-009</v>
      </c>
      <c r="I43" s="7"/>
      <c r="J43" s="7"/>
      <c r="K43" s="7"/>
      <c r="L43" s="7"/>
    </row>
    <row r="44" customFormat="false" ht="12.75" hidden="false" customHeight="false" outlineLevel="0" collapsed="false">
      <c r="A44" s="0" t="n">
        <f aca="false">A43*2</f>
        <v>16384</v>
      </c>
      <c r="B44" s="8" t="n">
        <v>0.0523597286987305</v>
      </c>
      <c r="C44" s="8" t="n">
        <v>0.0523345718383789</v>
      </c>
      <c r="D44" s="8" t="n">
        <v>0.0523441619873047</v>
      </c>
      <c r="E44" s="8" t="n">
        <v>0.0521414599609375</v>
      </c>
      <c r="F44" s="8" t="n">
        <v>0.0524705041503906</v>
      </c>
      <c r="G44" s="17" t="n">
        <f aca="false">AVERAGE(B44:F44)</f>
        <v>0.0523300853271484</v>
      </c>
      <c r="H44" s="1" t="n">
        <f aca="false">STDEV(B44:F44)/1000000</f>
        <v>1.18737089110625E-010</v>
      </c>
      <c r="I44" s="7"/>
      <c r="J44" s="7"/>
      <c r="K44" s="7"/>
      <c r="L44" s="7"/>
    </row>
    <row r="45" customFormat="false" ht="12.75" hidden="false" customHeight="false" outlineLevel="0" collapsed="false">
      <c r="A45" s="0" t="n">
        <f aca="false">A44*2</f>
        <v>32768</v>
      </c>
      <c r="B45" s="8" t="n">
        <v>0.0410838076782227</v>
      </c>
      <c r="C45" s="8" t="n">
        <v>0.0413809107971191</v>
      </c>
      <c r="D45" s="8" t="n">
        <v>0.0410007801818848</v>
      </c>
      <c r="E45" s="8" t="n">
        <v>0.040993119354248</v>
      </c>
      <c r="F45" s="8" t="n">
        <v>0.0413951319885254</v>
      </c>
      <c r="G45" s="17" t="n">
        <f aca="false">AVERAGE(B45:F45)</f>
        <v>0.04117075</v>
      </c>
      <c r="H45" s="1" t="n">
        <f aca="false">STDEV(B45:F45)/1000000</f>
        <v>2.01566484141571E-010</v>
      </c>
      <c r="I45" s="7"/>
      <c r="J45" s="7"/>
      <c r="K45" s="7"/>
      <c r="L45" s="7"/>
    </row>
    <row r="49" customFormat="false" ht="12.75" hidden="false" customHeight="false" outlineLevel="0" collapsed="false">
      <c r="E49" s="0" t="s">
        <v>25</v>
      </c>
    </row>
    <row r="50" customFormat="false" ht="12.75" hidden="false" customHeight="false" outlineLevel="0" collapsed="false">
      <c r="F50" s="0" t="n">
        <f aca="false">G24/G38</f>
        <v>1.02472458800635</v>
      </c>
    </row>
    <row r="51" customFormat="false" ht="12.75" hidden="false" customHeight="false" outlineLevel="0" collapsed="false">
      <c r="F51" s="0" t="n">
        <f aca="false">G25/G39</f>
        <v>1.02181079229149</v>
      </c>
    </row>
    <row r="52" customFormat="false" ht="12.75" hidden="false" customHeight="false" outlineLevel="0" collapsed="false">
      <c r="F52" s="0" t="n">
        <f aca="false">G26/G40</f>
        <v>1.00507883556853</v>
      </c>
    </row>
    <row r="53" customFormat="false" ht="12.75" hidden="false" customHeight="false" outlineLevel="0" collapsed="false">
      <c r="F53" s="0" t="n">
        <f aca="false">G27/G41</f>
        <v>1.04240463397558</v>
      </c>
    </row>
    <row r="54" customFormat="false" ht="12.75" hidden="false" customHeight="false" outlineLevel="0" collapsed="false">
      <c r="F54" s="0" t="n">
        <f aca="false">G28/G42</f>
        <v>0.989503999111075</v>
      </c>
    </row>
    <row r="55" customFormat="false" ht="12.75" hidden="false" customHeight="false" outlineLevel="0" collapsed="false">
      <c r="F55" s="0" t="n">
        <f aca="false">G29/G43</f>
        <v>1.19316304572631</v>
      </c>
    </row>
    <row r="56" customFormat="false" ht="12.75" hidden="false" customHeight="false" outlineLevel="0" collapsed="false">
      <c r="F56" s="0" t="n">
        <f aca="false">G30/G44</f>
        <v>1.26240297026795</v>
      </c>
    </row>
    <row r="57" customFormat="false" ht="12.75" hidden="false" customHeight="false" outlineLevel="0" collapsed="false">
      <c r="F57" s="0" t="n">
        <f aca="false">G31/G45</f>
        <v>1.26780390500708</v>
      </c>
    </row>
    <row r="58" customFormat="false" ht="12.75" hidden="false" customHeight="false" outlineLevel="0" collapsed="false">
      <c r="E58" s="0" t="s">
        <v>26</v>
      </c>
      <c r="F58" s="0" t="n">
        <f aca="false">AVERAGE(F50:F57)</f>
        <v>1.1008615962443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2012-04-12T02:38:47Z</dcterms:created>
  <dc:creator>Korii</dc:creator>
  <dc:description/>
  <dc:language>en-US</dc:language>
  <cp:lastModifiedBy/>
  <dcterms:modified xsi:type="dcterms:W3CDTF">2023-03-15T12:44:52Z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